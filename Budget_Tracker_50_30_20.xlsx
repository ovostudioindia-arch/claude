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nsactions" sheetId="2" state="visible" r:id="rId2"/>
    <sheet name="Reference" sheetId="3" state="hidden" r:id="rId3"/>
    <sheet name="Budget Set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M/D/YYYY"/>
  </numFmts>
  <fonts count="8">
    <font>
      <name val="Calibri"/>
      <family val="2"/>
      <color theme="1"/>
      <sz val="11"/>
      <scheme val="minor"/>
    </font>
    <font>
      <b val="1"/>
      <color rgb="FFFFFFFF"/>
      <sz val="10"/>
    </font>
    <font>
      <i val="1"/>
      <color rgb="FF888888"/>
    </font>
    <font>
      <b val="1"/>
      <color rgb="FF4A5E52"/>
      <sz val="20"/>
    </font>
    <font>
      <b val="1"/>
      <color rgb="FF000000"/>
      <sz val="10"/>
    </font>
    <font>
      <b val="1"/>
      <color rgb="FF000000"/>
      <sz val="11"/>
    </font>
    <font>
      <color rgb="FF999999"/>
      <sz val="8"/>
    </font>
    <font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4A5E52"/>
        <bgColor rgb="FF4A5E52"/>
      </patternFill>
    </fill>
    <fill>
      <patternFill patternType="solid">
        <fgColor rgb="FFFFF9C4"/>
        <bgColor rgb="FFFFF9C4"/>
      </patternFill>
    </fill>
    <fill>
      <patternFill patternType="solid">
        <fgColor rgb="FFC49A8A"/>
        <bgColor rgb="FFC49A8A"/>
      </patternFill>
    </fill>
    <fill>
      <patternFill patternType="solid">
        <fgColor rgb="FFFFFFFF"/>
        <bgColor rgb="FFFFFFFF"/>
      </patternFill>
    </fill>
    <fill>
      <patternFill patternType="solid">
        <fgColor rgb="FFF0EBE3"/>
        <bgColor rgb="FFF0EBE3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4" borderId="1" pivotButton="0" quotePrefix="0" xfId="0"/>
    <xf numFmtId="0" fontId="6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7" fillId="6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5" borderId="1" pivotButton="0" quotePrefix="0" xfId="0"/>
    <xf numFmtId="9" fontId="0" fillId="6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4" borderId="0" pivotButton="0" quotePrefix="0" xfId="0"/>
    <xf numFmtId="0" fontId="1" fillId="2" borderId="0" pivotButton="0" quotePrefix="0" xfId="0"/>
    <xf numFmtId="166" fontId="0" fillId="5" borderId="0" pivotButton="0" quotePrefix="0" xfId="0"/>
    <xf numFmtId="164" fontId="0" fillId="5" borderId="0" pivotButton="0" quotePrefix="0" xfId="0"/>
    <xf numFmtId="0" fontId="0" fillId="5" borderId="0" pivotButton="0" quotePrefix="0" xfId="0"/>
    <xf numFmtId="0" fontId="2" fillId="5" borderId="0" pivotButton="0" quotePrefix="0" xfId="0"/>
    <xf numFmtId="166" fontId="0" fillId="6" borderId="0" pivotButton="0" quotePrefix="0" xfId="0"/>
    <xf numFmtId="164" fontId="0" fillId="6" borderId="0" pivotButton="0" quotePrefix="0" xfId="0"/>
    <xf numFmtId="0" fontId="0" fillId="6" borderId="0" pivotButton="0" quotePrefix="0" xfId="0"/>
    <xf numFmtId="0" fontId="2" fillId="6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5">
    <dxf>
      <font>
        <b val="1"/>
        <color rgb="FF4A5E52"/>
      </font>
      <fill>
        <patternFill patternType="solid">
          <fgColor rgb="FFD6F0DC"/>
          <bgColor rgb="FFD6F0DC"/>
        </patternFill>
      </fill>
    </dxf>
    <dxf>
      <font>
        <b val="1"/>
        <color rgb="FFC0392B"/>
      </font>
      <fill>
        <patternFill patternType="solid">
          <fgColor rgb="FFF5C6C0"/>
          <bgColor rgb="FFF5C6C0"/>
        </patternFill>
      </fill>
    </dxf>
    <dxf>
      <fill>
        <patternFill patternType="solid">
          <fgColor rgb="FFF5C6C0"/>
          <bgColor rgb="FFF5C6C0"/>
        </patternFill>
      </fill>
    </dxf>
    <dxf>
      <font>
        <color rgb="FFC0392B"/>
      </font>
    </dxf>
    <dxf>
      <font>
        <b val="1"/>
      </font>
      <fill>
        <patternFill patternType="solid">
          <fgColor rgb="FFF0EBE3"/>
          <bgColor rgb="FFF0EB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MY GOAL vs MY REAL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v>MY GOAL</v>
          </tx>
          <spPr>
            <a:solidFill>
              <a:srgbClr val="4A5E52"/>
            </a:solidFill>
            <a:ln>
              <a:prstDash val="solid"/>
            </a:ln>
          </spPr>
          <cat>
            <numRef>
              <f>'Dashboard'!$A$17:$A$19</f>
            </numRef>
          </cat>
          <val>
            <numRef>
              <f>'Dashboard'!$E$17:$E$19</f>
            </numRef>
          </val>
        </ser>
        <ser>
          <idx val="1"/>
          <order val="1"/>
          <tx>
            <v>MY BUDGET</v>
          </tx>
          <spPr>
            <a:solidFill>
              <a:srgbClr val="C49A8A"/>
            </a:solidFill>
            <a:ln>
              <a:prstDash val="solid"/>
            </a:ln>
          </spPr>
          <cat>
            <numRef>
              <f>'Dashboard'!$A$17:$A$19</f>
            </numRef>
          </cat>
          <val>
            <numRef>
              <f>'Dashboard'!$E$24:$E$26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MY GOAL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A5E52"/>
              </a:solidFill>
              <a:ln>
                <a:prstDash val="solid"/>
              </a:ln>
            </spPr>
          </dPt>
          <dPt>
            <idx val="1"/>
            <spPr>
              <a:solidFill>
                <a:srgbClr val="C49A8A"/>
              </a:solidFill>
              <a:ln>
                <a:prstDash val="solid"/>
              </a:ln>
            </spPr>
          </dPt>
          <dPt>
            <idx val="2"/>
            <spPr>
              <a:solidFill>
                <a:srgbClr val="8FA898"/>
              </a:solidFill>
              <a:ln>
                <a:prstDash val="solid"/>
              </a:ln>
            </spPr>
          </dPt>
          <cat>
            <numRef>
              <f>'Dashboard'!$A$17:$A$19</f>
            </numRef>
          </cat>
          <val>
            <numRef>
              <f>'Dashboard'!$E$17:$E$19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MY REAL BUDGET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A5E52"/>
              </a:solidFill>
              <a:ln>
                <a:prstDash val="solid"/>
              </a:ln>
            </spPr>
          </dPt>
          <dPt>
            <idx val="1"/>
            <spPr>
              <a:solidFill>
                <a:srgbClr val="C49A8A"/>
              </a:solidFill>
              <a:ln>
                <a:prstDash val="solid"/>
              </a:ln>
            </spPr>
          </dPt>
          <dPt>
            <idx val="2"/>
            <spPr>
              <a:solidFill>
                <a:srgbClr val="8FA898"/>
              </a:solidFill>
              <a:ln>
                <a:prstDash val="solid"/>
              </a:ln>
            </spPr>
          </dPt>
          <cat>
            <numRef>
              <f>'Dashboard'!$A$24:$A$26</f>
            </numRef>
          </cat>
          <val>
            <numRef>
              <f>'Dashboard'!$E$24:$E$26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14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21</row>
      <rowOff>0</rowOff>
    </from>
    <ext cx="46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" customWidth="1" min="2" max="2"/>
    <col width="14" customWidth="1" min="3" max="3"/>
    <col width="4" customWidth="1" min="4" max="4"/>
    <col width="14" customWidth="1" min="5" max="5"/>
    <col width="4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50/30/20 DASHBOARD</t>
        </is>
      </c>
    </row>
    <row r="2"/>
    <row r="3">
      <c r="A3" s="2" t="inlineStr">
        <is>
          <t>WHICH MONTH DO YOU WANT TO IMPROVE?</t>
        </is>
      </c>
    </row>
    <row r="4">
      <c r="H4" s="3" t="inlineStr">
        <is>
          <t>SELECT MONTH →</t>
        </is>
      </c>
      <c r="I4" s="4" t="inlineStr">
        <is>
          <t>January</t>
        </is>
      </c>
    </row>
    <row r="6">
      <c r="A6" s="5" t="inlineStr">
        <is>
          <t>SOURCE</t>
        </is>
      </c>
      <c r="B6" s="5" t="n"/>
      <c r="C6" s="5" t="inlineStr">
        <is>
          <t>BUDGET</t>
        </is>
      </c>
      <c r="D6" s="5" t="n"/>
      <c r="E6" s="5" t="inlineStr">
        <is>
          <t>REAL</t>
        </is>
      </c>
      <c r="I6" s="6">
        <f>MATCH(I4,Reference!$G$1:$G$12,0)</f>
        <v/>
      </c>
    </row>
    <row r="7">
      <c r="A7" s="7" t="inlineStr">
        <is>
          <t>INCOME</t>
        </is>
      </c>
      <c r="B7" s="8" t="n"/>
      <c r="C7" s="9">
        <f>'Budget Setup'!B2</f>
        <v/>
      </c>
      <c r="D7" s="8" t="n"/>
      <c r="E7" s="9">
        <f>'Budget Setup'!B2</f>
        <v/>
      </c>
    </row>
    <row r="8">
      <c r="A8" s="10" t="inlineStr">
        <is>
          <t>BILLS</t>
        </is>
      </c>
      <c r="B8" s="11" t="n"/>
      <c r="C8" s="12">
        <f>IFERROR(SUMIFS('Budget Setup'!E:E,'Budget Setup'!F:F,"Bills"),0)</f>
        <v/>
      </c>
      <c r="D8" s="11" t="n"/>
      <c r="E8" s="12">
        <f>IFERROR(SUMIFS(Transactions!B:B,Transactions!D:D,"Bills",MONTH(Transactions!A:A),I$6),0)</f>
        <v/>
      </c>
    </row>
    <row r="9">
      <c r="A9" s="7" t="inlineStr">
        <is>
          <t>SUBSCRIPTIONS</t>
        </is>
      </c>
      <c r="B9" s="8" t="n"/>
      <c r="C9" s="9">
        <f>IFERROR(SUMIFS('Budget Setup'!E:E,'Budget Setup'!F:F,"Subscriptions"),0)</f>
        <v/>
      </c>
      <c r="D9" s="8" t="n"/>
      <c r="E9" s="9">
        <f>IFERROR(SUMIFS(Transactions!B:B,Transactions!D:D,"Subscriptions",MONTH(Transactions!A:A),I$6),0)</f>
        <v/>
      </c>
    </row>
    <row r="10">
      <c r="A10" s="10" t="inlineStr">
        <is>
          <t>EXPENSES</t>
        </is>
      </c>
      <c r="B10" s="11" t="n"/>
      <c r="C10" s="12">
        <f>IFERROR('Budget Setup'!B2*('Budget Setup'!B3/100)-C8-C9,0)</f>
        <v/>
      </c>
      <c r="D10" s="11" t="n"/>
      <c r="E10" s="12">
        <f>IFERROR(SUMIFS(Transactions!B:B,Transactions!D:D,"Expenses",MONTH(Transactions!A:A),I$6),0)</f>
        <v/>
      </c>
    </row>
    <row r="11">
      <c r="A11" s="7" t="inlineStr">
        <is>
          <t>SAVINGS</t>
        </is>
      </c>
      <c r="B11" s="8" t="n"/>
      <c r="C11" s="9">
        <f>IFERROR('Budget Setup'!B2*('Budget Setup'!B5/100)*0.5,0)</f>
        <v/>
      </c>
      <c r="D11" s="8" t="n"/>
      <c r="E11" s="9">
        <f>IFERROR(SUMIFS(Transactions!B:B,Transactions!D:D,"Savings",MONTH(Transactions!A:A),I$6),0)</f>
        <v/>
      </c>
    </row>
    <row r="12">
      <c r="A12" s="10" t="inlineStr">
        <is>
          <t>DEBTS</t>
        </is>
      </c>
      <c r="B12" s="11" t="n"/>
      <c r="C12" s="12">
        <f>IFERROR('Budget Setup'!B2*('Budget Setup'!B5/100)*0.5,0)</f>
        <v/>
      </c>
      <c r="D12" s="11" t="n"/>
      <c r="E12" s="12">
        <f>IFERROR(SUMIFS(Transactions!B:B,Transactions!D:D,"Debts",MONTH(Transactions!A:A),I$6),0)</f>
        <v/>
      </c>
    </row>
    <row r="13">
      <c r="A13" s="13" t="inlineStr">
        <is>
          <t>AMOUNT LEFT</t>
        </is>
      </c>
      <c r="B13" s="8" t="n"/>
      <c r="C13" s="9" t="n"/>
      <c r="D13" s="8" t="n"/>
      <c r="E13" s="14">
        <f>IFERROR(E7-SUM(E8:E12),0)</f>
        <v/>
      </c>
    </row>
    <row r="15">
      <c r="A15" s="15" t="inlineStr">
        <is>
          <t>MY GOAL BREAKDOWN</t>
        </is>
      </c>
      <c r="B15" s="16" t="n"/>
      <c r="C15" s="16" t="n"/>
      <c r="D15" s="16" t="n"/>
      <c r="E15" s="16" t="n"/>
    </row>
    <row r="16">
      <c r="A16" s="5" t="inlineStr">
        <is>
          <t>CATEGORY</t>
        </is>
      </c>
      <c r="B16" s="5" t="n"/>
      <c r="C16" s="5" t="inlineStr">
        <is>
          <t>%</t>
        </is>
      </c>
      <c r="D16" s="5" t="n"/>
      <c r="E16" s="5" t="inlineStr">
        <is>
          <t>$</t>
        </is>
      </c>
    </row>
    <row r="17">
      <c r="A17" s="8" t="inlineStr">
        <is>
          <t>Need</t>
        </is>
      </c>
      <c r="B17" s="8" t="n"/>
      <c r="C17" s="17">
        <f>TEXT('Budget Setup'!B3/100,"0%")</f>
        <v/>
      </c>
      <c r="D17" s="8" t="n"/>
      <c r="E17" s="9">
        <f>'Budget Setup'!B2*('Budget Setup'!B3/100)</f>
        <v/>
      </c>
    </row>
    <row r="18">
      <c r="A18" s="11" t="inlineStr">
        <is>
          <t>Want</t>
        </is>
      </c>
      <c r="B18" s="11" t="n"/>
      <c r="C18" s="18">
        <f>TEXT('Budget Setup'!B4/100,"0%")</f>
        <v/>
      </c>
      <c r="D18" s="11" t="n"/>
      <c r="E18" s="12">
        <f>'Budget Setup'!B2*('Budget Setup'!B4/100)</f>
        <v/>
      </c>
    </row>
    <row r="19">
      <c r="A19" s="8" t="inlineStr">
        <is>
          <t>Savings / Debts</t>
        </is>
      </c>
      <c r="B19" s="8" t="n"/>
      <c r="C19" s="17">
        <f>TEXT('Budget Setup'!B5/100,"0%")</f>
        <v/>
      </c>
      <c r="D19" s="8" t="n"/>
      <c r="E19" s="9">
        <f>'Budget Setup'!B2*('Budget Setup'!B5/100)</f>
        <v/>
      </c>
    </row>
    <row r="20">
      <c r="A20" s="11" t="inlineStr">
        <is>
          <t>TOTAL</t>
        </is>
      </c>
      <c r="B20" s="11" t="n"/>
      <c r="C20" s="18" t="inlineStr">
        <is>
          <t>100%</t>
        </is>
      </c>
      <c r="D20" s="11" t="n"/>
      <c r="E20" s="12">
        <f>SUM(E17:E19)</f>
        <v/>
      </c>
    </row>
    <row r="22">
      <c r="A22" s="15" t="inlineStr">
        <is>
          <t>MY REAL BUDGET BREAKDOWN</t>
        </is>
      </c>
      <c r="B22" s="16" t="n"/>
      <c r="C22" s="16" t="n"/>
      <c r="D22" s="16" t="n"/>
      <c r="E22" s="16" t="n"/>
    </row>
    <row r="23">
      <c r="A23" s="5" t="inlineStr">
        <is>
          <t>CATEGORY</t>
        </is>
      </c>
      <c r="B23" s="5" t="n"/>
      <c r="C23" s="5" t="inlineStr">
        <is>
          <t>%</t>
        </is>
      </c>
      <c r="D23" s="5" t="n"/>
      <c r="E23" s="5" t="inlineStr">
        <is>
          <t>$</t>
        </is>
      </c>
    </row>
    <row r="24">
      <c r="A24" s="8" t="inlineStr">
        <is>
          <t>Need</t>
        </is>
      </c>
      <c r="B24" s="8" t="n"/>
      <c r="C24" s="17">
        <f>IFERROR(E24/E7,0)</f>
        <v/>
      </c>
      <c r="D24" s="8" t="n"/>
      <c r="E24" s="9">
        <f>IFERROR(SUMIFS(Transactions!B:B,Transactions!F:F,"Need",MONTH(Transactions!A:A),I$6),0)</f>
        <v/>
      </c>
    </row>
    <row r="25">
      <c r="A25" s="11" t="inlineStr">
        <is>
          <t>Want</t>
        </is>
      </c>
      <c r="B25" s="11" t="n"/>
      <c r="C25" s="18">
        <f>IFERROR(E25/E7,0)</f>
        <v/>
      </c>
      <c r="D25" s="11" t="n"/>
      <c r="E25" s="12">
        <f>IFERROR(SUMIFS(Transactions!B:B,Transactions!F:F,"Want",MONTH(Transactions!A:A),I$6),0)</f>
        <v/>
      </c>
    </row>
    <row r="26">
      <c r="A26" s="8" t="inlineStr">
        <is>
          <t>Savings / Debts</t>
        </is>
      </c>
      <c r="B26" s="8" t="n"/>
      <c r="C26" s="17">
        <f>IFERROR(E26/E7,0)</f>
        <v/>
      </c>
      <c r="D26" s="8" t="n"/>
      <c r="E26" s="9">
        <f>IFERROR(SUMIFS(Transactions!B:B,Transactions!F:F,"Savings / Debts",MONTH(Transactions!A:A),I$6),0)</f>
        <v/>
      </c>
    </row>
    <row r="27">
      <c r="A27" s="11" t="inlineStr">
        <is>
          <t>TOTAL</t>
        </is>
      </c>
      <c r="B27" s="11" t="n"/>
      <c r="C27" s="18">
        <f>IFERROR(SUM(C24:C26),0)</f>
        <v/>
      </c>
      <c r="D27" s="11" t="n"/>
      <c r="E27" s="12">
        <f>SUM(E24:E26)</f>
        <v/>
      </c>
    </row>
    <row r="29">
      <c r="A29" s="19" t="inlineStr">
        <is>
          <t>TRANSACTION TRACKER</t>
        </is>
      </c>
    </row>
    <row r="30">
      <c r="A30" s="20" t="inlineStr">
        <is>
          <t>DATE</t>
        </is>
      </c>
      <c r="B30" s="20" t="inlineStr">
        <is>
          <t>AMOUNT</t>
        </is>
      </c>
      <c r="C30" s="20" t="inlineStr">
        <is>
          <t>SUB-CATEGORY</t>
        </is>
      </c>
      <c r="D30" s="20" t="inlineStr">
        <is>
          <t>CATEGORY</t>
        </is>
      </c>
      <c r="E30" s="20" t="inlineStr">
        <is>
          <t>DESCRIPTION</t>
        </is>
      </c>
      <c r="F30" s="20" t="inlineStr">
        <is>
          <t>BUCKET</t>
        </is>
      </c>
    </row>
    <row r="31">
      <c r="A31">
        <f>IFERROR(QUERY(Transactions!A:F,"SELECT A,B,C,D,E,F WHERE A IS NOT NULL AND MONTH(A)+1 = "&amp;I$6&amp;" ORDER BY A DESC LABEL A '',B '',C '',D '',E '',F ''"),"")</f>
        <v/>
      </c>
    </row>
  </sheetData>
  <mergeCells count="5">
    <mergeCell ref="A15:E15"/>
    <mergeCell ref="A1:I2"/>
    <mergeCell ref="A3:I3"/>
    <mergeCell ref="A22:E22"/>
    <mergeCell ref="A29:F29"/>
  </mergeCells>
  <conditionalFormatting sqref="E1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4">
    <cfRule type="expression" priority="3" dxfId="2">
      <formula>E24&gt;E17</formula>
    </cfRule>
  </conditionalFormatting>
  <conditionalFormatting sqref="E25">
    <cfRule type="expression" priority="4" dxfId="2">
      <formula>E25&gt;E18</formula>
    </cfRule>
  </conditionalFormatting>
  <conditionalFormatting sqref="E26">
    <cfRule type="expression" priority="5" dxfId="2">
      <formula>E26&gt;E19</formula>
    </cfRule>
  </conditionalFormatting>
  <conditionalFormatting sqref="E8:E12">
    <cfRule type="expression" priority="6" dxfId="3">
      <formula>E8&gt;C8</formula>
    </cfRule>
  </conditionalFormatting>
  <dataValidations count="1">
    <dataValidation sqref="I4" showDropDown="0" showInputMessage="0" showErrorMessage="0" allowBlank="0" type="list">
      <formula1>=Reference!$G$1:$G$12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4" customWidth="1" min="4" max="4"/>
    <col width="24" customWidth="1" min="5" max="5"/>
    <col width="17" customWidth="1" min="6" max="6"/>
  </cols>
  <sheetData>
    <row r="1">
      <c r="A1" s="21" t="inlineStr">
        <is>
          <t>DATE</t>
        </is>
      </c>
      <c r="B1" s="21" t="inlineStr">
        <is>
          <t>AMOUNT</t>
        </is>
      </c>
      <c r="C1" s="21" t="inlineStr">
        <is>
          <t>SUB-CATEGORY</t>
        </is>
      </c>
      <c r="D1" s="21" t="inlineStr">
        <is>
          <t>CATEGORY</t>
        </is>
      </c>
      <c r="E1" s="21" t="inlineStr">
        <is>
          <t>DESCRIPTION</t>
        </is>
      </c>
      <c r="F1" s="21" t="inlineStr">
        <is>
          <t>BUCKET</t>
        </is>
      </c>
    </row>
    <row r="2">
      <c r="A2" s="22" t="n">
        <v>45292</v>
      </c>
      <c r="B2" s="23" t="n">
        <v>1200</v>
      </c>
      <c r="C2" s="24" t="inlineStr">
        <is>
          <t>Rent/Mortgage</t>
        </is>
      </c>
      <c r="D2" s="25">
        <f>IFERROR(VLOOKUP(C2,Reference!$A:$B,2,0),"")</f>
        <v/>
      </c>
      <c r="E2" s="24" t="inlineStr">
        <is>
          <t>Monthly rent</t>
        </is>
      </c>
      <c r="F2" s="25">
        <f>IFERROR(VLOOKUP(C2,Reference!$D:$E,2,0),"")</f>
        <v/>
      </c>
    </row>
    <row r="3">
      <c r="A3" s="26" t="n">
        <v>45292</v>
      </c>
      <c r="B3" s="27" t="n">
        <v>80</v>
      </c>
      <c r="C3" s="28" t="inlineStr">
        <is>
          <t>Utilities</t>
        </is>
      </c>
      <c r="D3" s="29">
        <f>IFERROR(VLOOKUP(C3,Reference!$A:$B,2,0),"")</f>
        <v/>
      </c>
      <c r="E3" s="28" t="inlineStr">
        <is>
          <t>Electric bill</t>
        </is>
      </c>
      <c r="F3" s="29">
        <f>IFERROR(VLOOKUP(C3,Reference!$D:$E,2,0),"")</f>
        <v/>
      </c>
    </row>
    <row r="4">
      <c r="A4" s="22" t="n">
        <v>45293</v>
      </c>
      <c r="B4" s="23" t="n">
        <v>100</v>
      </c>
      <c r="C4" s="24" t="inlineStr">
        <is>
          <t>Groceries</t>
        </is>
      </c>
      <c r="D4" s="25">
        <f>IFERROR(VLOOKUP(C4,Reference!$A:$B,2,0),"")</f>
        <v/>
      </c>
      <c r="E4" s="24" t="inlineStr">
        <is>
          <t>Weekly shop</t>
        </is>
      </c>
      <c r="F4" s="25">
        <f>IFERROR(VLOOKUP(C4,Reference!$D:$E,2,0),"")</f>
        <v/>
      </c>
    </row>
    <row r="5">
      <c r="A5" s="26" t="n">
        <v>45294</v>
      </c>
      <c r="B5" s="27" t="n">
        <v>45</v>
      </c>
      <c r="C5" s="28" t="inlineStr">
        <is>
          <t>Internet</t>
        </is>
      </c>
      <c r="D5" s="29">
        <f>IFERROR(VLOOKUP(C5,Reference!$A:$B,2,0),"")</f>
        <v/>
      </c>
      <c r="E5" s="28" t="inlineStr"/>
      <c r="F5" s="29">
        <f>IFERROR(VLOOKUP(C5,Reference!$D:$E,2,0),"")</f>
        <v/>
      </c>
    </row>
    <row r="6">
      <c r="A6" s="22" t="n">
        <v>45295</v>
      </c>
      <c r="B6" s="23" t="n">
        <v>55</v>
      </c>
      <c r="C6" s="24" t="inlineStr">
        <is>
          <t>Phone</t>
        </is>
      </c>
      <c r="D6" s="25">
        <f>IFERROR(VLOOKUP(C6,Reference!$A:$B,2,0),"")</f>
        <v/>
      </c>
      <c r="E6" s="24" t="inlineStr"/>
      <c r="F6" s="25">
        <f>IFERROR(VLOOKUP(C6,Reference!$D:$E,2,0),"")</f>
        <v/>
      </c>
    </row>
    <row r="7">
      <c r="A7" s="26" t="n">
        <v>45296</v>
      </c>
      <c r="B7" s="27" t="n">
        <v>500</v>
      </c>
      <c r="C7" s="28" t="inlineStr">
        <is>
          <t>Loan Payment</t>
        </is>
      </c>
      <c r="D7" s="29">
        <f>IFERROR(VLOOKUP(C7,Reference!$A:$B,2,0),"")</f>
        <v/>
      </c>
      <c r="E7" s="28" t="inlineStr">
        <is>
          <t>Car loan</t>
        </is>
      </c>
      <c r="F7" s="29">
        <f>IFERROR(VLOOKUP(C7,Reference!$D:$E,2,0),"")</f>
        <v/>
      </c>
    </row>
    <row r="8">
      <c r="A8" s="22" t="n">
        <v>45296</v>
      </c>
      <c r="B8" s="23" t="n">
        <v>60</v>
      </c>
      <c r="C8" s="24" t="inlineStr">
        <is>
          <t>Gym</t>
        </is>
      </c>
      <c r="D8" s="25">
        <f>IFERROR(VLOOKUP(C8,Reference!$A:$B,2,0),"")</f>
        <v/>
      </c>
      <c r="E8" s="24" t="inlineStr"/>
      <c r="F8" s="25">
        <f>IFERROR(VLOOKUP(C8,Reference!$D:$E,2,0),"")</f>
        <v/>
      </c>
    </row>
    <row r="9">
      <c r="A9" s="26" t="n">
        <v>45297</v>
      </c>
      <c r="B9" s="27" t="n">
        <v>45</v>
      </c>
      <c r="C9" s="28" t="inlineStr">
        <is>
          <t>Streaming</t>
        </is>
      </c>
      <c r="D9" s="29">
        <f>IFERROR(VLOOKUP(C9,Reference!$A:$B,2,0),"")</f>
        <v/>
      </c>
      <c r="E9" s="28" t="inlineStr">
        <is>
          <t>Netflix + Spotify</t>
        </is>
      </c>
      <c r="F9" s="29">
        <f>IFERROR(VLOOKUP(C9,Reference!$D:$E,2,0),"")</f>
        <v/>
      </c>
    </row>
    <row r="10">
      <c r="A10" s="22" t="n">
        <v>45298</v>
      </c>
      <c r="B10" s="23" t="n">
        <v>150</v>
      </c>
      <c r="C10" s="24" t="inlineStr">
        <is>
          <t>Groceries</t>
        </is>
      </c>
      <c r="D10" s="25">
        <f>IFERROR(VLOOKUP(C10,Reference!$A:$B,2,0),"")</f>
        <v/>
      </c>
      <c r="E10" s="24" t="inlineStr"/>
      <c r="F10" s="25">
        <f>IFERROR(VLOOKUP(C10,Reference!$D:$E,2,0),"")</f>
        <v/>
      </c>
    </row>
    <row r="11">
      <c r="A11" s="26" t="n">
        <v>45299</v>
      </c>
      <c r="B11" s="27" t="n">
        <v>90</v>
      </c>
      <c r="C11" s="28" t="inlineStr">
        <is>
          <t>Dining Out</t>
        </is>
      </c>
      <c r="D11" s="29">
        <f>IFERROR(VLOOKUP(C11,Reference!$A:$B,2,0),"")</f>
        <v/>
      </c>
      <c r="E11" s="28" t="inlineStr">
        <is>
          <t>Birthday dinner</t>
        </is>
      </c>
      <c r="F11" s="29">
        <f>IFERROR(VLOOKUP(C11,Reference!$D:$E,2,0),"")</f>
        <v/>
      </c>
    </row>
    <row r="12">
      <c r="A12" s="22" t="n">
        <v>45301</v>
      </c>
      <c r="B12" s="23" t="n">
        <v>200</v>
      </c>
      <c r="C12" s="24" t="inlineStr">
        <is>
          <t>Clothes</t>
        </is>
      </c>
      <c r="D12" s="25">
        <f>IFERROR(VLOOKUP(C12,Reference!$A:$B,2,0),"")</f>
        <v/>
      </c>
      <c r="E12" s="24" t="inlineStr">
        <is>
          <t>Winter jacket</t>
        </is>
      </c>
      <c r="F12" s="25">
        <f>IFERROR(VLOOKUP(C12,Reference!$D:$E,2,0),"")</f>
        <v/>
      </c>
    </row>
    <row r="13">
      <c r="A13" s="26" t="n">
        <v>45303</v>
      </c>
      <c r="B13" s="27" t="n">
        <v>120</v>
      </c>
      <c r="C13" s="28" t="inlineStr">
        <is>
          <t>Gas</t>
        </is>
      </c>
      <c r="D13" s="29">
        <f>IFERROR(VLOOKUP(C13,Reference!$A:$B,2,0),"")</f>
        <v/>
      </c>
      <c r="E13" s="28" t="inlineStr"/>
      <c r="F13" s="29">
        <f>IFERROR(VLOOKUP(C13,Reference!$D:$E,2,0),"")</f>
        <v/>
      </c>
    </row>
    <row r="14">
      <c r="A14" s="22" t="n">
        <v>45305</v>
      </c>
      <c r="B14" s="23" t="n">
        <v>75</v>
      </c>
      <c r="C14" s="24" t="inlineStr">
        <is>
          <t>Drugstore</t>
        </is>
      </c>
      <c r="D14" s="25">
        <f>IFERROR(VLOOKUP(C14,Reference!$A:$B,2,0),"")</f>
        <v/>
      </c>
      <c r="E14" s="24" t="inlineStr"/>
      <c r="F14" s="25">
        <f>IFERROR(VLOOKUP(C14,Reference!$D:$E,2,0),"")</f>
        <v/>
      </c>
    </row>
    <row r="15">
      <c r="A15" s="26" t="n">
        <v>45306</v>
      </c>
      <c r="B15" s="27" t="n">
        <v>250</v>
      </c>
      <c r="C15" s="28" t="inlineStr">
        <is>
          <t>Savings Transfer</t>
        </is>
      </c>
      <c r="D15" s="29">
        <f>IFERROR(VLOOKUP(C15,Reference!$A:$B,2,0),"")</f>
        <v/>
      </c>
      <c r="E15" s="28" t="inlineStr">
        <is>
          <t>Monthly savings</t>
        </is>
      </c>
      <c r="F15" s="29">
        <f>IFERROR(VLOOKUP(C15,Reference!$D:$E,2,0),"")</f>
        <v/>
      </c>
    </row>
    <row r="16">
      <c r="A16" s="22" t="n">
        <v>45307</v>
      </c>
      <c r="B16" s="23" t="n">
        <v>40</v>
      </c>
      <c r="C16" s="24" t="inlineStr">
        <is>
          <t>Entertainment</t>
        </is>
      </c>
      <c r="D16" s="25">
        <f>IFERROR(VLOOKUP(C16,Reference!$A:$B,2,0),"")</f>
        <v/>
      </c>
      <c r="E16" s="24" t="inlineStr">
        <is>
          <t>Cinema</t>
        </is>
      </c>
      <c r="F16" s="25">
        <f>IFERROR(VLOOKUP(C16,Reference!$D:$E,2,0),"")</f>
        <v/>
      </c>
    </row>
    <row r="17">
      <c r="A17" s="26" t="n">
        <v>45309</v>
      </c>
      <c r="B17" s="27" t="n">
        <v>500</v>
      </c>
      <c r="C17" s="28" t="inlineStr">
        <is>
          <t>Other</t>
        </is>
      </c>
      <c r="D17" s="29">
        <f>IFERROR(VLOOKUP(C17,Reference!$A:$B,2,0),"")</f>
        <v/>
      </c>
      <c r="E17" s="28" t="inlineStr">
        <is>
          <t>Boat repair</t>
        </is>
      </c>
      <c r="F17" s="29">
        <f>IFERROR(VLOOKUP(C17,Reference!$D:$E,2,0),"")</f>
        <v/>
      </c>
    </row>
    <row r="18">
      <c r="A18" s="22" t="n">
        <v>45311</v>
      </c>
      <c r="B18" s="23" t="n">
        <v>150</v>
      </c>
      <c r="C18" s="24" t="inlineStr">
        <is>
          <t>Health</t>
        </is>
      </c>
      <c r="D18" s="25">
        <f>IFERROR(VLOOKUP(C18,Reference!$A:$B,2,0),"")</f>
        <v/>
      </c>
      <c r="E18" s="24" t="inlineStr">
        <is>
          <t>Dentist</t>
        </is>
      </c>
      <c r="F18" s="25">
        <f>IFERROR(VLOOKUP(C18,Reference!$D:$E,2,0),"")</f>
        <v/>
      </c>
    </row>
    <row r="19">
      <c r="A19" s="26" t="n">
        <v>45313</v>
      </c>
      <c r="B19" s="27" t="n">
        <v>50</v>
      </c>
      <c r="C19" s="28" t="inlineStr">
        <is>
          <t>Transport</t>
        </is>
      </c>
      <c r="D19" s="29">
        <f>IFERROR(VLOOKUP(C19,Reference!$A:$B,2,0),"")</f>
        <v/>
      </c>
      <c r="E19" s="28" t="inlineStr">
        <is>
          <t>Uber rides</t>
        </is>
      </c>
      <c r="F19" s="29">
        <f>IFERROR(VLOOKUP(C19,Reference!$D:$E,2,0),"")</f>
        <v/>
      </c>
    </row>
    <row r="20">
      <c r="A20" s="22" t="n">
        <v>45316</v>
      </c>
      <c r="B20" s="23" t="n">
        <v>130</v>
      </c>
      <c r="C20" s="24" t="inlineStr">
        <is>
          <t>Dining Out</t>
        </is>
      </c>
      <c r="D20" s="25">
        <f>IFERROR(VLOOKUP(C20,Reference!$A:$B,2,0),"")</f>
        <v/>
      </c>
      <c r="E20" s="24" t="inlineStr"/>
      <c r="F20" s="25">
        <f>IFERROR(VLOOKUP(C20,Reference!$D:$E,2,0),"")</f>
        <v/>
      </c>
    </row>
    <row r="21">
      <c r="A21" s="26" t="n">
        <v>45319</v>
      </c>
      <c r="B21" s="27" t="n">
        <v>15</v>
      </c>
      <c r="C21" s="28" t="inlineStr">
        <is>
          <t>Clothes</t>
        </is>
      </c>
      <c r="D21" s="29">
        <f>IFERROR(VLOOKUP(C21,Reference!$A:$B,2,0),"")</f>
        <v/>
      </c>
      <c r="E21" s="28" t="inlineStr"/>
      <c r="F21" s="29">
        <f>IFERROR(VLOOKUP(C21,Reference!$D:$E,2,0),"")</f>
        <v/>
      </c>
    </row>
    <row r="22">
      <c r="A22" s="22" t="n">
        <v>45323</v>
      </c>
      <c r="B22" s="23" t="n">
        <v>1200</v>
      </c>
      <c r="C22" s="24" t="inlineStr">
        <is>
          <t>Rent/Mortgage</t>
        </is>
      </c>
      <c r="D22" s="25">
        <f>IFERROR(VLOOKUP(C22,Reference!$A:$B,2,0),"")</f>
        <v/>
      </c>
      <c r="E22" s="24" t="inlineStr"/>
      <c r="F22" s="25">
        <f>IFERROR(VLOOKUP(C22,Reference!$D:$E,2,0),"")</f>
        <v/>
      </c>
    </row>
    <row r="23">
      <c r="A23" s="26" t="n">
        <v>45324</v>
      </c>
      <c r="B23" s="27" t="n">
        <v>80</v>
      </c>
      <c r="C23" s="28" t="inlineStr">
        <is>
          <t>Utilities</t>
        </is>
      </c>
      <c r="D23" s="29">
        <f>IFERROR(VLOOKUP(C23,Reference!$A:$B,2,0),"")</f>
        <v/>
      </c>
      <c r="E23" s="28" t="inlineStr"/>
      <c r="F23" s="29">
        <f>IFERROR(VLOOKUP(C23,Reference!$D:$E,2,0),"")</f>
        <v/>
      </c>
    </row>
    <row r="24">
      <c r="A24" s="22" t="n">
        <v>45325</v>
      </c>
      <c r="B24" s="23" t="n">
        <v>120</v>
      </c>
      <c r="C24" s="24" t="inlineStr">
        <is>
          <t>Groceries</t>
        </is>
      </c>
      <c r="D24" s="25">
        <f>IFERROR(VLOOKUP(C24,Reference!$A:$B,2,0),"")</f>
        <v/>
      </c>
      <c r="E24" s="24" t="inlineStr"/>
      <c r="F24" s="25">
        <f>IFERROR(VLOOKUP(C24,Reference!$D:$E,2,0),"")</f>
        <v/>
      </c>
    </row>
    <row r="25">
      <c r="A25" s="26" t="n">
        <v>45327</v>
      </c>
      <c r="B25" s="27" t="n">
        <v>45</v>
      </c>
      <c r="C25" s="28" t="inlineStr">
        <is>
          <t>Streaming</t>
        </is>
      </c>
      <c r="D25" s="29">
        <f>IFERROR(VLOOKUP(C25,Reference!$A:$B,2,0),"")</f>
        <v/>
      </c>
      <c r="E25" s="28" t="inlineStr"/>
      <c r="F25" s="29">
        <f>IFERROR(VLOOKUP(C25,Reference!$D:$E,2,0),"")</f>
        <v/>
      </c>
    </row>
    <row r="26">
      <c r="A26" s="22" t="n">
        <v>45329</v>
      </c>
      <c r="B26" s="23" t="n">
        <v>200</v>
      </c>
      <c r="C26" s="24" t="inlineStr">
        <is>
          <t>Clothes</t>
        </is>
      </c>
      <c r="D26" s="25">
        <f>IFERROR(VLOOKUP(C26,Reference!$A:$B,2,0),"")</f>
        <v/>
      </c>
      <c r="E26" s="24" t="inlineStr">
        <is>
          <t>Valentine's gift</t>
        </is>
      </c>
      <c r="F26" s="25">
        <f>IFERROR(VLOOKUP(C26,Reference!$D:$E,2,0),"")</f>
        <v/>
      </c>
    </row>
    <row r="27">
      <c r="A27" s="26" t="n">
        <v>45332</v>
      </c>
      <c r="B27" s="27" t="n">
        <v>75</v>
      </c>
      <c r="C27" s="28" t="inlineStr">
        <is>
          <t>Dining Out</t>
        </is>
      </c>
      <c r="D27" s="29">
        <f>IFERROR(VLOOKUP(C27,Reference!$A:$B,2,0),"")</f>
        <v/>
      </c>
      <c r="E27" s="28" t="inlineStr"/>
      <c r="F27" s="29">
        <f>IFERROR(VLOOKUP(C27,Reference!$D:$E,2,0),"")</f>
        <v/>
      </c>
    </row>
    <row r="28">
      <c r="A28" s="22" t="n">
        <v>45336</v>
      </c>
      <c r="B28" s="23" t="n">
        <v>500</v>
      </c>
      <c r="C28" s="24" t="inlineStr">
        <is>
          <t>Loan Payment</t>
        </is>
      </c>
      <c r="D28" s="25">
        <f>IFERROR(VLOOKUP(C28,Reference!$A:$B,2,0),"")</f>
        <v/>
      </c>
      <c r="E28" s="24" t="inlineStr"/>
      <c r="F28" s="25">
        <f>IFERROR(VLOOKUP(C28,Reference!$D:$E,2,0),"")</f>
        <v/>
      </c>
    </row>
    <row r="29">
      <c r="A29" s="26" t="n">
        <v>45337</v>
      </c>
      <c r="B29" s="27" t="n">
        <v>300</v>
      </c>
      <c r="C29" s="28" t="inlineStr">
        <is>
          <t>Savings Transfer</t>
        </is>
      </c>
      <c r="D29" s="29">
        <f>IFERROR(VLOOKUP(C29,Reference!$A:$B,2,0),"")</f>
        <v/>
      </c>
      <c r="E29" s="28" t="inlineStr"/>
      <c r="F29" s="29">
        <f>IFERROR(VLOOKUP(C29,Reference!$D:$E,2,0),"")</f>
        <v/>
      </c>
    </row>
    <row r="30">
      <c r="A30" s="22" t="n">
        <v>45340</v>
      </c>
      <c r="B30" s="23" t="n">
        <v>55</v>
      </c>
      <c r="C30" s="24" t="inlineStr">
        <is>
          <t>Phone</t>
        </is>
      </c>
      <c r="D30" s="25">
        <f>IFERROR(VLOOKUP(C30,Reference!$A:$B,2,0),"")</f>
        <v/>
      </c>
      <c r="E30" s="24" t="inlineStr"/>
      <c r="F30" s="25">
        <f>IFERROR(VLOOKUP(C30,Reference!$D:$E,2,0),"")</f>
        <v/>
      </c>
    </row>
    <row r="31">
      <c r="A31" s="26" t="n">
        <v>45344</v>
      </c>
      <c r="B31" s="27" t="n">
        <v>90</v>
      </c>
      <c r="C31" s="28" t="inlineStr">
        <is>
          <t>Gas</t>
        </is>
      </c>
      <c r="D31" s="29">
        <f>IFERROR(VLOOKUP(C31,Reference!$A:$B,2,0),"")</f>
        <v/>
      </c>
      <c r="E31" s="28" t="inlineStr"/>
      <c r="F31" s="29">
        <f>IFERROR(VLOOKUP(C31,Reference!$D:$E,2,0),"")</f>
        <v/>
      </c>
    </row>
    <row r="32">
      <c r="A32" s="22" t="n">
        <v>45352</v>
      </c>
      <c r="B32" s="23" t="n">
        <v>1200</v>
      </c>
      <c r="C32" s="24" t="inlineStr">
        <is>
          <t>Rent/Mortgage</t>
        </is>
      </c>
      <c r="D32" s="25">
        <f>IFERROR(VLOOKUP(C32,Reference!$A:$B,2,0),"")</f>
        <v/>
      </c>
      <c r="E32" s="24" t="inlineStr"/>
      <c r="F32" s="25">
        <f>IFERROR(VLOOKUP(C32,Reference!$D:$E,2,0),"")</f>
        <v/>
      </c>
    </row>
    <row r="33">
      <c r="A33" s="26" t="n">
        <v>45354</v>
      </c>
      <c r="B33" s="27" t="n">
        <v>95</v>
      </c>
      <c r="C33" s="28" t="inlineStr">
        <is>
          <t>Groceries</t>
        </is>
      </c>
      <c r="D33" s="29">
        <f>IFERROR(VLOOKUP(C33,Reference!$A:$B,2,0),"")</f>
        <v/>
      </c>
      <c r="E33" s="28" t="inlineStr"/>
      <c r="F33" s="29">
        <f>IFERROR(VLOOKUP(C33,Reference!$D:$E,2,0),"")</f>
        <v/>
      </c>
    </row>
    <row r="34">
      <c r="A34" s="22" t="n">
        <v>45356</v>
      </c>
      <c r="B34" s="23" t="n">
        <v>500</v>
      </c>
      <c r="C34" s="24" t="inlineStr">
        <is>
          <t>Loan Payment</t>
        </is>
      </c>
      <c r="D34" s="25">
        <f>IFERROR(VLOOKUP(C34,Reference!$A:$B,2,0),"")</f>
        <v/>
      </c>
      <c r="E34" s="24" t="inlineStr"/>
      <c r="F34" s="25">
        <f>IFERROR(VLOOKUP(C34,Reference!$D:$E,2,0),"")</f>
        <v/>
      </c>
    </row>
    <row r="35">
      <c r="A35" s="26" t="n">
        <v>45359</v>
      </c>
      <c r="B35" s="27" t="n">
        <v>60</v>
      </c>
      <c r="C35" s="28" t="inlineStr">
        <is>
          <t>Gym</t>
        </is>
      </c>
      <c r="D35" s="29">
        <f>IFERROR(VLOOKUP(C35,Reference!$A:$B,2,0),"")</f>
        <v/>
      </c>
      <c r="E35" s="28" t="inlineStr"/>
      <c r="F35" s="29">
        <f>IFERROR(VLOOKUP(C35,Reference!$D:$E,2,0),"")</f>
        <v/>
      </c>
    </row>
    <row r="36">
      <c r="A36" s="22" t="n">
        <v>45361</v>
      </c>
      <c r="B36" s="23" t="n">
        <v>130</v>
      </c>
      <c r="C36" s="24" t="inlineStr">
        <is>
          <t>Clothes</t>
        </is>
      </c>
      <c r="D36" s="25">
        <f>IFERROR(VLOOKUP(C36,Reference!$A:$B,2,0),"")</f>
        <v/>
      </c>
      <c r="E36" s="24" t="inlineStr"/>
      <c r="F36" s="25">
        <f>IFERROR(VLOOKUP(C36,Reference!$D:$E,2,0),"")</f>
        <v/>
      </c>
    </row>
    <row r="37">
      <c r="A37" s="26" t="n">
        <v>45363</v>
      </c>
      <c r="B37" s="27" t="n">
        <v>45</v>
      </c>
      <c r="C37" s="28" t="inlineStr">
        <is>
          <t>Streaming</t>
        </is>
      </c>
      <c r="D37" s="29">
        <f>IFERROR(VLOOKUP(C37,Reference!$A:$B,2,0),"")</f>
        <v/>
      </c>
      <c r="E37" s="28" t="inlineStr"/>
      <c r="F37" s="29">
        <f>IFERROR(VLOOKUP(C37,Reference!$D:$E,2,0),"")</f>
        <v/>
      </c>
    </row>
    <row r="38">
      <c r="A38" s="22" t="n">
        <v>45366</v>
      </c>
      <c r="B38" s="23" t="n">
        <v>250</v>
      </c>
      <c r="C38" s="24" t="inlineStr">
        <is>
          <t>Savings Transfer</t>
        </is>
      </c>
      <c r="D38" s="25">
        <f>IFERROR(VLOOKUP(C38,Reference!$A:$B,2,0),"")</f>
        <v/>
      </c>
      <c r="E38" s="24" t="inlineStr"/>
      <c r="F38" s="25">
        <f>IFERROR(VLOOKUP(C38,Reference!$D:$E,2,0),"")</f>
        <v/>
      </c>
    </row>
    <row r="39">
      <c r="A39" s="26" t="n">
        <v>45369</v>
      </c>
      <c r="B39" s="27" t="n">
        <v>110</v>
      </c>
      <c r="C39" s="28" t="inlineStr">
        <is>
          <t>Dining Out</t>
        </is>
      </c>
      <c r="D39" s="29">
        <f>IFERROR(VLOOKUP(C39,Reference!$A:$B,2,0),"")</f>
        <v/>
      </c>
      <c r="E39" s="28" t="inlineStr"/>
      <c r="F39" s="29">
        <f>IFERROR(VLOOKUP(C39,Reference!$D:$E,2,0),"")</f>
        <v/>
      </c>
    </row>
    <row r="40">
      <c r="A40" s="22" t="n">
        <v>45371</v>
      </c>
      <c r="B40" s="23" t="n">
        <v>80</v>
      </c>
      <c r="C40" s="24" t="inlineStr">
        <is>
          <t>Utilities</t>
        </is>
      </c>
      <c r="D40" s="25">
        <f>IFERROR(VLOOKUP(C40,Reference!$A:$B,2,0),"")</f>
        <v/>
      </c>
      <c r="E40" s="24" t="inlineStr"/>
      <c r="F40" s="25">
        <f>IFERROR(VLOOKUP(C40,Reference!$D:$E,2,0),"")</f>
        <v/>
      </c>
    </row>
    <row r="41">
      <c r="A41" s="26" t="n">
        <v>45376</v>
      </c>
      <c r="B41" s="27" t="n">
        <v>55</v>
      </c>
      <c r="C41" s="28" t="inlineStr">
        <is>
          <t>Phone</t>
        </is>
      </c>
      <c r="D41" s="29">
        <f>IFERROR(VLOOKUP(C41,Reference!$A:$B,2,0),"")</f>
        <v/>
      </c>
      <c r="E41" s="28" t="inlineStr"/>
      <c r="F41" s="29">
        <f>IFERROR(VLOOKUP(C41,Reference!$D:$E,2,0),"")</f>
        <v/>
      </c>
    </row>
    <row r="42">
      <c r="A42" s="30" t="n"/>
      <c r="B42" s="31" t="n"/>
      <c r="D42" s="32">
        <f>IFERROR(VLOOKUP(C42,Reference!$A:$B,2,0),"")</f>
        <v/>
      </c>
      <c r="F42" s="32">
        <f>IFERROR(VLOOKUP(C42,Reference!$D:$E,2,0),"")</f>
        <v/>
      </c>
    </row>
    <row r="43">
      <c r="A43" s="30" t="n"/>
      <c r="B43" s="31" t="n"/>
      <c r="D43" s="32">
        <f>IFERROR(VLOOKUP(C43,Reference!$A:$B,2,0),"")</f>
        <v/>
      </c>
      <c r="F43" s="32">
        <f>IFERROR(VLOOKUP(C43,Reference!$D:$E,2,0),"")</f>
        <v/>
      </c>
    </row>
    <row r="44">
      <c r="A44" s="30" t="n"/>
      <c r="B44" s="31" t="n"/>
      <c r="D44" s="32">
        <f>IFERROR(VLOOKUP(C44,Reference!$A:$B,2,0),"")</f>
        <v/>
      </c>
      <c r="F44" s="32">
        <f>IFERROR(VLOOKUP(C44,Reference!$D:$E,2,0),"")</f>
        <v/>
      </c>
    </row>
    <row r="45">
      <c r="A45" s="30" t="n"/>
      <c r="B45" s="31" t="n"/>
      <c r="D45" s="32">
        <f>IFERROR(VLOOKUP(C45,Reference!$A:$B,2,0),"")</f>
        <v/>
      </c>
      <c r="F45" s="32">
        <f>IFERROR(VLOOKUP(C45,Reference!$D:$E,2,0),"")</f>
        <v/>
      </c>
    </row>
    <row r="46">
      <c r="A46" s="30" t="n"/>
      <c r="B46" s="31" t="n"/>
      <c r="D46" s="32">
        <f>IFERROR(VLOOKUP(C46,Reference!$A:$B,2,0),"")</f>
        <v/>
      </c>
      <c r="F46" s="32">
        <f>IFERROR(VLOOKUP(C46,Reference!$D:$E,2,0),"")</f>
        <v/>
      </c>
    </row>
    <row r="47">
      <c r="A47" s="30" t="n"/>
      <c r="B47" s="31" t="n"/>
      <c r="D47" s="32">
        <f>IFERROR(VLOOKUP(C47,Reference!$A:$B,2,0),"")</f>
        <v/>
      </c>
      <c r="F47" s="32">
        <f>IFERROR(VLOOKUP(C47,Reference!$D:$E,2,0),"")</f>
        <v/>
      </c>
    </row>
    <row r="48">
      <c r="A48" s="30" t="n"/>
      <c r="B48" s="31" t="n"/>
      <c r="D48" s="32">
        <f>IFERROR(VLOOKUP(C48,Reference!$A:$B,2,0),"")</f>
        <v/>
      </c>
      <c r="F48" s="32">
        <f>IFERROR(VLOOKUP(C48,Reference!$D:$E,2,0),"")</f>
        <v/>
      </c>
    </row>
    <row r="49">
      <c r="A49" s="30" t="n"/>
      <c r="B49" s="31" t="n"/>
      <c r="D49" s="32">
        <f>IFERROR(VLOOKUP(C49,Reference!$A:$B,2,0),"")</f>
        <v/>
      </c>
      <c r="F49" s="32">
        <f>IFERROR(VLOOKUP(C49,Reference!$D:$E,2,0),"")</f>
        <v/>
      </c>
    </row>
    <row r="50">
      <c r="A50" s="30" t="n"/>
      <c r="B50" s="31" t="n"/>
      <c r="D50" s="32">
        <f>IFERROR(VLOOKUP(C50,Reference!$A:$B,2,0),"")</f>
        <v/>
      </c>
      <c r="F50" s="32">
        <f>IFERROR(VLOOKUP(C50,Reference!$D:$E,2,0),"")</f>
        <v/>
      </c>
    </row>
    <row r="51">
      <c r="A51" s="30" t="n"/>
      <c r="B51" s="31" t="n"/>
      <c r="D51" s="32">
        <f>IFERROR(VLOOKUP(C51,Reference!$A:$B,2,0),"")</f>
        <v/>
      </c>
      <c r="F51" s="32">
        <f>IFERROR(VLOOKUP(C51,Reference!$D:$E,2,0),"")</f>
        <v/>
      </c>
    </row>
    <row r="52">
      <c r="A52" s="30" t="n"/>
      <c r="B52" s="31" t="n"/>
      <c r="D52" s="32">
        <f>IFERROR(VLOOKUP(C52,Reference!$A:$B,2,0),"")</f>
        <v/>
      </c>
      <c r="F52" s="32">
        <f>IFERROR(VLOOKUP(C52,Reference!$D:$E,2,0),"")</f>
        <v/>
      </c>
    </row>
    <row r="53">
      <c r="A53" s="30" t="n"/>
      <c r="B53" s="31" t="n"/>
      <c r="D53" s="32">
        <f>IFERROR(VLOOKUP(C53,Reference!$A:$B,2,0),"")</f>
        <v/>
      </c>
      <c r="F53" s="32">
        <f>IFERROR(VLOOKUP(C53,Reference!$D:$E,2,0),"")</f>
        <v/>
      </c>
    </row>
    <row r="54">
      <c r="A54" s="30" t="n"/>
      <c r="B54" s="31" t="n"/>
      <c r="D54" s="32">
        <f>IFERROR(VLOOKUP(C54,Reference!$A:$B,2,0),"")</f>
        <v/>
      </c>
      <c r="F54" s="32">
        <f>IFERROR(VLOOKUP(C54,Reference!$D:$E,2,0),"")</f>
        <v/>
      </c>
    </row>
    <row r="55">
      <c r="A55" s="30" t="n"/>
      <c r="B55" s="31" t="n"/>
      <c r="D55" s="32">
        <f>IFERROR(VLOOKUP(C55,Reference!$A:$B,2,0),"")</f>
        <v/>
      </c>
      <c r="F55" s="32">
        <f>IFERROR(VLOOKUP(C55,Reference!$D:$E,2,0),"")</f>
        <v/>
      </c>
    </row>
    <row r="56">
      <c r="A56" s="30" t="n"/>
      <c r="B56" s="31" t="n"/>
      <c r="D56" s="32">
        <f>IFERROR(VLOOKUP(C56,Reference!$A:$B,2,0),"")</f>
        <v/>
      </c>
      <c r="F56" s="32">
        <f>IFERROR(VLOOKUP(C56,Reference!$D:$E,2,0),"")</f>
        <v/>
      </c>
    </row>
    <row r="57">
      <c r="A57" s="30" t="n"/>
      <c r="B57" s="31" t="n"/>
      <c r="D57" s="32">
        <f>IFERROR(VLOOKUP(C57,Reference!$A:$B,2,0),"")</f>
        <v/>
      </c>
      <c r="F57" s="32">
        <f>IFERROR(VLOOKUP(C57,Reference!$D:$E,2,0),"")</f>
        <v/>
      </c>
    </row>
    <row r="58">
      <c r="A58" s="30" t="n"/>
      <c r="B58" s="31" t="n"/>
      <c r="D58" s="32">
        <f>IFERROR(VLOOKUP(C58,Reference!$A:$B,2,0),"")</f>
        <v/>
      </c>
      <c r="F58" s="32">
        <f>IFERROR(VLOOKUP(C58,Reference!$D:$E,2,0),"")</f>
        <v/>
      </c>
    </row>
    <row r="59">
      <c r="A59" s="30" t="n"/>
      <c r="B59" s="31" t="n"/>
      <c r="D59" s="32">
        <f>IFERROR(VLOOKUP(C59,Reference!$A:$B,2,0),"")</f>
        <v/>
      </c>
      <c r="F59" s="32">
        <f>IFERROR(VLOOKUP(C59,Reference!$D:$E,2,0),"")</f>
        <v/>
      </c>
    </row>
    <row r="60">
      <c r="A60" s="30" t="n"/>
      <c r="B60" s="31" t="n"/>
      <c r="D60" s="32">
        <f>IFERROR(VLOOKUP(C60,Reference!$A:$B,2,0),"")</f>
        <v/>
      </c>
      <c r="F60" s="32">
        <f>IFERROR(VLOOKUP(C60,Reference!$D:$E,2,0),"")</f>
        <v/>
      </c>
    </row>
    <row r="61">
      <c r="A61" s="30" t="n"/>
      <c r="B61" s="31" t="n"/>
      <c r="D61" s="32">
        <f>IFERROR(VLOOKUP(C61,Reference!$A:$B,2,0),"")</f>
        <v/>
      </c>
      <c r="F61" s="32">
        <f>IFERROR(VLOOKUP(C61,Reference!$D:$E,2,0),"")</f>
        <v/>
      </c>
    </row>
    <row r="62">
      <c r="A62" s="30" t="n"/>
      <c r="B62" s="31" t="n"/>
      <c r="D62" s="32">
        <f>IFERROR(VLOOKUP(C62,Reference!$A:$B,2,0),"")</f>
        <v/>
      </c>
      <c r="F62" s="32">
        <f>IFERROR(VLOOKUP(C62,Reference!$D:$E,2,0),"")</f>
        <v/>
      </c>
    </row>
    <row r="63">
      <c r="A63" s="30" t="n"/>
      <c r="B63" s="31" t="n"/>
      <c r="D63" s="32">
        <f>IFERROR(VLOOKUP(C63,Reference!$A:$B,2,0),"")</f>
        <v/>
      </c>
      <c r="F63" s="32">
        <f>IFERROR(VLOOKUP(C63,Reference!$D:$E,2,0),"")</f>
        <v/>
      </c>
    </row>
    <row r="64">
      <c r="A64" s="30" t="n"/>
      <c r="B64" s="31" t="n"/>
      <c r="D64" s="32">
        <f>IFERROR(VLOOKUP(C64,Reference!$A:$B,2,0),"")</f>
        <v/>
      </c>
      <c r="F64" s="32">
        <f>IFERROR(VLOOKUP(C64,Reference!$D:$E,2,0),"")</f>
        <v/>
      </c>
    </row>
    <row r="65">
      <c r="A65" s="30" t="n"/>
      <c r="B65" s="31" t="n"/>
      <c r="D65" s="32">
        <f>IFERROR(VLOOKUP(C65,Reference!$A:$B,2,0),"")</f>
        <v/>
      </c>
      <c r="F65" s="32">
        <f>IFERROR(VLOOKUP(C65,Reference!$D:$E,2,0),"")</f>
        <v/>
      </c>
    </row>
    <row r="66">
      <c r="A66" s="30" t="n"/>
      <c r="B66" s="31" t="n"/>
      <c r="D66" s="32">
        <f>IFERROR(VLOOKUP(C66,Reference!$A:$B,2,0),"")</f>
        <v/>
      </c>
      <c r="F66" s="32">
        <f>IFERROR(VLOOKUP(C66,Reference!$D:$E,2,0),"")</f>
        <v/>
      </c>
    </row>
    <row r="67">
      <c r="A67" s="30" t="n"/>
      <c r="B67" s="31" t="n"/>
      <c r="D67" s="32">
        <f>IFERROR(VLOOKUP(C67,Reference!$A:$B,2,0),"")</f>
        <v/>
      </c>
      <c r="F67" s="32">
        <f>IFERROR(VLOOKUP(C67,Reference!$D:$E,2,0),"")</f>
        <v/>
      </c>
    </row>
    <row r="68">
      <c r="A68" s="30" t="n"/>
      <c r="B68" s="31" t="n"/>
      <c r="D68" s="32">
        <f>IFERROR(VLOOKUP(C68,Reference!$A:$B,2,0),"")</f>
        <v/>
      </c>
      <c r="F68" s="32">
        <f>IFERROR(VLOOKUP(C68,Reference!$D:$E,2,0),"")</f>
        <v/>
      </c>
    </row>
    <row r="69">
      <c r="A69" s="30" t="n"/>
      <c r="B69" s="31" t="n"/>
      <c r="D69" s="32">
        <f>IFERROR(VLOOKUP(C69,Reference!$A:$B,2,0),"")</f>
        <v/>
      </c>
      <c r="F69" s="32">
        <f>IFERROR(VLOOKUP(C69,Reference!$D:$E,2,0),"")</f>
        <v/>
      </c>
    </row>
    <row r="70">
      <c r="A70" s="30" t="n"/>
      <c r="B70" s="31" t="n"/>
      <c r="D70" s="32">
        <f>IFERROR(VLOOKUP(C70,Reference!$A:$B,2,0),"")</f>
        <v/>
      </c>
      <c r="F70" s="32">
        <f>IFERROR(VLOOKUP(C70,Reference!$D:$E,2,0),"")</f>
        <v/>
      </c>
    </row>
    <row r="71">
      <c r="A71" s="30" t="n"/>
      <c r="B71" s="31" t="n"/>
      <c r="D71" s="32">
        <f>IFERROR(VLOOKUP(C71,Reference!$A:$B,2,0),"")</f>
        <v/>
      </c>
      <c r="F71" s="32">
        <f>IFERROR(VLOOKUP(C71,Reference!$D:$E,2,0),"")</f>
        <v/>
      </c>
    </row>
    <row r="72">
      <c r="A72" s="30" t="n"/>
      <c r="B72" s="31" t="n"/>
      <c r="D72" s="32">
        <f>IFERROR(VLOOKUP(C72,Reference!$A:$B,2,0),"")</f>
        <v/>
      </c>
      <c r="F72" s="32">
        <f>IFERROR(VLOOKUP(C72,Reference!$D:$E,2,0),"")</f>
        <v/>
      </c>
    </row>
    <row r="73">
      <c r="A73" s="30" t="n"/>
      <c r="B73" s="31" t="n"/>
      <c r="D73" s="32">
        <f>IFERROR(VLOOKUP(C73,Reference!$A:$B,2,0),"")</f>
        <v/>
      </c>
      <c r="F73" s="32">
        <f>IFERROR(VLOOKUP(C73,Reference!$D:$E,2,0),"")</f>
        <v/>
      </c>
    </row>
    <row r="74">
      <c r="A74" s="30" t="n"/>
      <c r="B74" s="31" t="n"/>
      <c r="D74" s="32">
        <f>IFERROR(VLOOKUP(C74,Reference!$A:$B,2,0),"")</f>
        <v/>
      </c>
      <c r="F74" s="32">
        <f>IFERROR(VLOOKUP(C74,Reference!$D:$E,2,0),"")</f>
        <v/>
      </c>
    </row>
    <row r="75">
      <c r="A75" s="30" t="n"/>
      <c r="B75" s="31" t="n"/>
      <c r="D75" s="32">
        <f>IFERROR(VLOOKUP(C75,Reference!$A:$B,2,0),"")</f>
        <v/>
      </c>
      <c r="F75" s="32">
        <f>IFERROR(VLOOKUP(C75,Reference!$D:$E,2,0),"")</f>
        <v/>
      </c>
    </row>
    <row r="76">
      <c r="A76" s="30" t="n"/>
      <c r="B76" s="31" t="n"/>
      <c r="D76" s="32">
        <f>IFERROR(VLOOKUP(C76,Reference!$A:$B,2,0),"")</f>
        <v/>
      </c>
      <c r="F76" s="32">
        <f>IFERROR(VLOOKUP(C76,Reference!$D:$E,2,0),"")</f>
        <v/>
      </c>
    </row>
    <row r="77">
      <c r="A77" s="30" t="n"/>
      <c r="B77" s="31" t="n"/>
      <c r="D77" s="32">
        <f>IFERROR(VLOOKUP(C77,Reference!$A:$B,2,0),"")</f>
        <v/>
      </c>
      <c r="F77" s="32">
        <f>IFERROR(VLOOKUP(C77,Reference!$D:$E,2,0),"")</f>
        <v/>
      </c>
    </row>
    <row r="78">
      <c r="A78" s="30" t="n"/>
      <c r="B78" s="31" t="n"/>
      <c r="D78" s="32">
        <f>IFERROR(VLOOKUP(C78,Reference!$A:$B,2,0),"")</f>
        <v/>
      </c>
      <c r="F78" s="32">
        <f>IFERROR(VLOOKUP(C78,Reference!$D:$E,2,0),"")</f>
        <v/>
      </c>
    </row>
    <row r="79">
      <c r="A79" s="30" t="n"/>
      <c r="B79" s="31" t="n"/>
      <c r="D79" s="32">
        <f>IFERROR(VLOOKUP(C79,Reference!$A:$B,2,0),"")</f>
        <v/>
      </c>
      <c r="F79" s="32">
        <f>IFERROR(VLOOKUP(C79,Reference!$D:$E,2,0),"")</f>
        <v/>
      </c>
    </row>
    <row r="80">
      <c r="A80" s="30" t="n"/>
      <c r="B80" s="31" t="n"/>
      <c r="D80" s="32">
        <f>IFERROR(VLOOKUP(C80,Reference!$A:$B,2,0),"")</f>
        <v/>
      </c>
      <c r="F80" s="32">
        <f>IFERROR(VLOOKUP(C80,Reference!$D:$E,2,0),"")</f>
        <v/>
      </c>
    </row>
    <row r="81">
      <c r="A81" s="30" t="n"/>
      <c r="B81" s="31" t="n"/>
      <c r="D81" s="32">
        <f>IFERROR(VLOOKUP(C81,Reference!$A:$B,2,0),"")</f>
        <v/>
      </c>
      <c r="F81" s="32">
        <f>IFERROR(VLOOKUP(C81,Reference!$D:$E,2,0),"")</f>
        <v/>
      </c>
    </row>
    <row r="82">
      <c r="A82" s="30" t="n"/>
      <c r="B82" s="31" t="n"/>
      <c r="D82" s="32">
        <f>IFERROR(VLOOKUP(C82,Reference!$A:$B,2,0),"")</f>
        <v/>
      </c>
      <c r="F82" s="32">
        <f>IFERROR(VLOOKUP(C82,Reference!$D:$E,2,0),"")</f>
        <v/>
      </c>
    </row>
    <row r="83">
      <c r="A83" s="30" t="n"/>
      <c r="B83" s="31" t="n"/>
      <c r="D83" s="32">
        <f>IFERROR(VLOOKUP(C83,Reference!$A:$B,2,0),"")</f>
        <v/>
      </c>
      <c r="F83" s="32">
        <f>IFERROR(VLOOKUP(C83,Reference!$D:$E,2,0),"")</f>
        <v/>
      </c>
    </row>
    <row r="84">
      <c r="A84" s="30" t="n"/>
      <c r="B84" s="31" t="n"/>
      <c r="D84" s="32">
        <f>IFERROR(VLOOKUP(C84,Reference!$A:$B,2,0),"")</f>
        <v/>
      </c>
      <c r="F84" s="32">
        <f>IFERROR(VLOOKUP(C84,Reference!$D:$E,2,0),"")</f>
        <v/>
      </c>
    </row>
    <row r="85">
      <c r="A85" s="30" t="n"/>
      <c r="B85" s="31" t="n"/>
      <c r="D85" s="32">
        <f>IFERROR(VLOOKUP(C85,Reference!$A:$B,2,0),"")</f>
        <v/>
      </c>
      <c r="F85" s="32">
        <f>IFERROR(VLOOKUP(C85,Reference!$D:$E,2,0),"")</f>
        <v/>
      </c>
    </row>
    <row r="86">
      <c r="A86" s="30" t="n"/>
      <c r="B86" s="31" t="n"/>
      <c r="D86" s="32">
        <f>IFERROR(VLOOKUP(C86,Reference!$A:$B,2,0),"")</f>
        <v/>
      </c>
      <c r="F86" s="32">
        <f>IFERROR(VLOOKUP(C86,Reference!$D:$E,2,0),"")</f>
        <v/>
      </c>
    </row>
    <row r="87">
      <c r="A87" s="30" t="n"/>
      <c r="B87" s="31" t="n"/>
      <c r="D87" s="32">
        <f>IFERROR(VLOOKUP(C87,Reference!$A:$B,2,0),"")</f>
        <v/>
      </c>
      <c r="F87" s="32">
        <f>IFERROR(VLOOKUP(C87,Reference!$D:$E,2,0),"")</f>
        <v/>
      </c>
    </row>
    <row r="88">
      <c r="A88" s="30" t="n"/>
      <c r="B88" s="31" t="n"/>
      <c r="D88" s="32">
        <f>IFERROR(VLOOKUP(C88,Reference!$A:$B,2,0),"")</f>
        <v/>
      </c>
      <c r="F88" s="32">
        <f>IFERROR(VLOOKUP(C88,Reference!$D:$E,2,0),"")</f>
        <v/>
      </c>
    </row>
    <row r="89">
      <c r="A89" s="30" t="n"/>
      <c r="B89" s="31" t="n"/>
      <c r="D89" s="32">
        <f>IFERROR(VLOOKUP(C89,Reference!$A:$B,2,0),"")</f>
        <v/>
      </c>
      <c r="F89" s="32">
        <f>IFERROR(VLOOKUP(C89,Reference!$D:$E,2,0),"")</f>
        <v/>
      </c>
    </row>
    <row r="90">
      <c r="A90" s="30" t="n"/>
      <c r="B90" s="31" t="n"/>
      <c r="D90" s="32">
        <f>IFERROR(VLOOKUP(C90,Reference!$A:$B,2,0),"")</f>
        <v/>
      </c>
      <c r="F90" s="32">
        <f>IFERROR(VLOOKUP(C90,Reference!$D:$E,2,0),"")</f>
        <v/>
      </c>
    </row>
    <row r="91">
      <c r="A91" s="30" t="n"/>
      <c r="B91" s="31" t="n"/>
      <c r="D91" s="32">
        <f>IFERROR(VLOOKUP(C91,Reference!$A:$B,2,0),"")</f>
        <v/>
      </c>
      <c r="F91" s="32">
        <f>IFERROR(VLOOKUP(C91,Reference!$D:$E,2,0),"")</f>
        <v/>
      </c>
    </row>
    <row r="92">
      <c r="A92" s="30" t="n"/>
      <c r="B92" s="31" t="n"/>
      <c r="D92" s="32">
        <f>IFERROR(VLOOKUP(C92,Reference!$A:$B,2,0),"")</f>
        <v/>
      </c>
      <c r="F92" s="32">
        <f>IFERROR(VLOOKUP(C92,Reference!$D:$E,2,0),"")</f>
        <v/>
      </c>
    </row>
    <row r="93">
      <c r="A93" s="30" t="n"/>
      <c r="B93" s="31" t="n"/>
      <c r="D93" s="32">
        <f>IFERROR(VLOOKUP(C93,Reference!$A:$B,2,0),"")</f>
        <v/>
      </c>
      <c r="F93" s="32">
        <f>IFERROR(VLOOKUP(C93,Reference!$D:$E,2,0),"")</f>
        <v/>
      </c>
    </row>
    <row r="94">
      <c r="A94" s="30" t="n"/>
      <c r="B94" s="31" t="n"/>
      <c r="D94" s="32">
        <f>IFERROR(VLOOKUP(C94,Reference!$A:$B,2,0),"")</f>
        <v/>
      </c>
      <c r="F94" s="32">
        <f>IFERROR(VLOOKUP(C94,Reference!$D:$E,2,0),"")</f>
        <v/>
      </c>
    </row>
    <row r="95">
      <c r="A95" s="30" t="n"/>
      <c r="B95" s="31" t="n"/>
      <c r="D95" s="32">
        <f>IFERROR(VLOOKUP(C95,Reference!$A:$B,2,0),"")</f>
        <v/>
      </c>
      <c r="F95" s="32">
        <f>IFERROR(VLOOKUP(C95,Reference!$D:$E,2,0),"")</f>
        <v/>
      </c>
    </row>
    <row r="96">
      <c r="A96" s="30" t="n"/>
      <c r="B96" s="31" t="n"/>
      <c r="D96" s="32">
        <f>IFERROR(VLOOKUP(C96,Reference!$A:$B,2,0),"")</f>
        <v/>
      </c>
      <c r="F96" s="32">
        <f>IFERROR(VLOOKUP(C96,Reference!$D:$E,2,0),"")</f>
        <v/>
      </c>
    </row>
    <row r="97">
      <c r="A97" s="30" t="n"/>
      <c r="B97" s="31" t="n"/>
      <c r="D97" s="32">
        <f>IFERROR(VLOOKUP(C97,Reference!$A:$B,2,0),"")</f>
        <v/>
      </c>
      <c r="F97" s="32">
        <f>IFERROR(VLOOKUP(C97,Reference!$D:$E,2,0),"")</f>
        <v/>
      </c>
    </row>
    <row r="98">
      <c r="A98" s="30" t="n"/>
      <c r="B98" s="31" t="n"/>
      <c r="D98" s="32">
        <f>IFERROR(VLOOKUP(C98,Reference!$A:$B,2,0),"")</f>
        <v/>
      </c>
      <c r="F98" s="32">
        <f>IFERROR(VLOOKUP(C98,Reference!$D:$E,2,0),"")</f>
        <v/>
      </c>
    </row>
    <row r="99">
      <c r="A99" s="30" t="n"/>
      <c r="B99" s="31" t="n"/>
      <c r="D99" s="32">
        <f>IFERROR(VLOOKUP(C99,Reference!$A:$B,2,0),"")</f>
        <v/>
      </c>
      <c r="F99" s="32">
        <f>IFERROR(VLOOKUP(C99,Reference!$D:$E,2,0),"")</f>
        <v/>
      </c>
    </row>
    <row r="100">
      <c r="A100" s="30" t="n"/>
      <c r="B100" s="31" t="n"/>
      <c r="D100" s="32">
        <f>IFERROR(VLOOKUP(C100,Reference!$A:$B,2,0),"")</f>
        <v/>
      </c>
      <c r="F100" s="32">
        <f>IFERROR(VLOOKUP(C100,Reference!$D:$E,2,0),"")</f>
        <v/>
      </c>
    </row>
    <row r="101">
      <c r="A101" s="30" t="n"/>
      <c r="B101" s="31" t="n"/>
      <c r="D101" s="32">
        <f>IFERROR(VLOOKUP(C101,Reference!$A:$B,2,0),"")</f>
        <v/>
      </c>
      <c r="F101" s="32">
        <f>IFERROR(VLOOKUP(C101,Reference!$D:$E,2,0),"")</f>
        <v/>
      </c>
    </row>
    <row r="102">
      <c r="A102" s="30" t="n"/>
      <c r="B102" s="31" t="n"/>
      <c r="D102" s="32">
        <f>IFERROR(VLOOKUP(C102,Reference!$A:$B,2,0),"")</f>
        <v/>
      </c>
      <c r="F102" s="32">
        <f>IFERROR(VLOOKUP(C102,Reference!$D:$E,2,0),"")</f>
        <v/>
      </c>
    </row>
    <row r="103">
      <c r="A103" s="30" t="n"/>
      <c r="B103" s="31" t="n"/>
      <c r="D103" s="32">
        <f>IFERROR(VLOOKUP(C103,Reference!$A:$B,2,0),"")</f>
        <v/>
      </c>
      <c r="F103" s="32">
        <f>IFERROR(VLOOKUP(C103,Reference!$D:$E,2,0),"")</f>
        <v/>
      </c>
    </row>
    <row r="104">
      <c r="A104" s="30" t="n"/>
      <c r="B104" s="31" t="n"/>
      <c r="D104" s="32">
        <f>IFERROR(VLOOKUP(C104,Reference!$A:$B,2,0),"")</f>
        <v/>
      </c>
      <c r="F104" s="32">
        <f>IFERROR(VLOOKUP(C104,Reference!$D:$E,2,0),"")</f>
        <v/>
      </c>
    </row>
    <row r="105">
      <c r="A105" s="30" t="n"/>
      <c r="B105" s="31" t="n"/>
      <c r="D105" s="32">
        <f>IFERROR(VLOOKUP(C105,Reference!$A:$B,2,0),"")</f>
        <v/>
      </c>
      <c r="F105" s="32">
        <f>IFERROR(VLOOKUP(C105,Reference!$D:$E,2,0),"")</f>
        <v/>
      </c>
    </row>
    <row r="106">
      <c r="A106" s="30" t="n"/>
      <c r="B106" s="31" t="n"/>
      <c r="D106" s="32">
        <f>IFERROR(VLOOKUP(C106,Reference!$A:$B,2,0),"")</f>
        <v/>
      </c>
      <c r="F106" s="32">
        <f>IFERROR(VLOOKUP(C106,Reference!$D:$E,2,0),"")</f>
        <v/>
      </c>
    </row>
    <row r="107">
      <c r="A107" s="30" t="n"/>
      <c r="B107" s="31" t="n"/>
      <c r="D107" s="32">
        <f>IFERROR(VLOOKUP(C107,Reference!$A:$B,2,0),"")</f>
        <v/>
      </c>
      <c r="F107" s="32">
        <f>IFERROR(VLOOKUP(C107,Reference!$D:$E,2,0),"")</f>
        <v/>
      </c>
    </row>
    <row r="108">
      <c r="A108" s="30" t="n"/>
      <c r="B108" s="31" t="n"/>
      <c r="D108" s="32">
        <f>IFERROR(VLOOKUP(C108,Reference!$A:$B,2,0),"")</f>
        <v/>
      </c>
      <c r="F108" s="32">
        <f>IFERROR(VLOOKUP(C108,Reference!$D:$E,2,0),"")</f>
        <v/>
      </c>
    </row>
    <row r="109">
      <c r="A109" s="30" t="n"/>
      <c r="B109" s="31" t="n"/>
      <c r="D109" s="32">
        <f>IFERROR(VLOOKUP(C109,Reference!$A:$B,2,0),"")</f>
        <v/>
      </c>
      <c r="F109" s="32">
        <f>IFERROR(VLOOKUP(C109,Reference!$D:$E,2,0),"")</f>
        <v/>
      </c>
    </row>
    <row r="110">
      <c r="A110" s="30" t="n"/>
      <c r="B110" s="31" t="n"/>
      <c r="D110" s="32">
        <f>IFERROR(VLOOKUP(C110,Reference!$A:$B,2,0),"")</f>
        <v/>
      </c>
      <c r="F110" s="32">
        <f>IFERROR(VLOOKUP(C110,Reference!$D:$E,2,0),"")</f>
        <v/>
      </c>
    </row>
    <row r="111">
      <c r="A111" s="30" t="n"/>
      <c r="B111" s="31" t="n"/>
      <c r="D111" s="32">
        <f>IFERROR(VLOOKUP(C111,Reference!$A:$B,2,0),"")</f>
        <v/>
      </c>
      <c r="F111" s="32">
        <f>IFERROR(VLOOKUP(C111,Reference!$D:$E,2,0),"")</f>
        <v/>
      </c>
    </row>
    <row r="112">
      <c r="A112" s="30" t="n"/>
      <c r="B112" s="31" t="n"/>
      <c r="D112" s="32">
        <f>IFERROR(VLOOKUP(C112,Reference!$A:$B,2,0),"")</f>
        <v/>
      </c>
      <c r="F112" s="32">
        <f>IFERROR(VLOOKUP(C112,Reference!$D:$E,2,0),"")</f>
        <v/>
      </c>
    </row>
    <row r="113">
      <c r="A113" s="30" t="n"/>
      <c r="B113" s="31" t="n"/>
      <c r="D113" s="32">
        <f>IFERROR(VLOOKUP(C113,Reference!$A:$B,2,0),"")</f>
        <v/>
      </c>
      <c r="F113" s="32">
        <f>IFERROR(VLOOKUP(C113,Reference!$D:$E,2,0),"")</f>
        <v/>
      </c>
    </row>
    <row r="114">
      <c r="A114" s="30" t="n"/>
      <c r="B114" s="31" t="n"/>
      <c r="D114" s="32">
        <f>IFERROR(VLOOKUP(C114,Reference!$A:$B,2,0),"")</f>
        <v/>
      </c>
      <c r="F114" s="32">
        <f>IFERROR(VLOOKUP(C114,Reference!$D:$E,2,0),"")</f>
        <v/>
      </c>
    </row>
    <row r="115">
      <c r="A115" s="30" t="n"/>
      <c r="B115" s="31" t="n"/>
      <c r="D115" s="32">
        <f>IFERROR(VLOOKUP(C115,Reference!$A:$B,2,0),"")</f>
        <v/>
      </c>
      <c r="F115" s="32">
        <f>IFERROR(VLOOKUP(C115,Reference!$D:$E,2,0),"")</f>
        <v/>
      </c>
    </row>
    <row r="116">
      <c r="A116" s="30" t="n"/>
      <c r="B116" s="31" t="n"/>
      <c r="D116" s="32">
        <f>IFERROR(VLOOKUP(C116,Reference!$A:$B,2,0),"")</f>
        <v/>
      </c>
      <c r="F116" s="32">
        <f>IFERROR(VLOOKUP(C116,Reference!$D:$E,2,0),"")</f>
        <v/>
      </c>
    </row>
    <row r="117">
      <c r="A117" s="30" t="n"/>
      <c r="B117" s="31" t="n"/>
      <c r="D117" s="32">
        <f>IFERROR(VLOOKUP(C117,Reference!$A:$B,2,0),"")</f>
        <v/>
      </c>
      <c r="F117" s="32">
        <f>IFERROR(VLOOKUP(C117,Reference!$D:$E,2,0),"")</f>
        <v/>
      </c>
    </row>
    <row r="118">
      <c r="A118" s="30" t="n"/>
      <c r="B118" s="31" t="n"/>
      <c r="D118" s="32">
        <f>IFERROR(VLOOKUP(C118,Reference!$A:$B,2,0),"")</f>
        <v/>
      </c>
      <c r="F118" s="32">
        <f>IFERROR(VLOOKUP(C118,Reference!$D:$E,2,0),"")</f>
        <v/>
      </c>
    </row>
    <row r="119">
      <c r="A119" s="30" t="n"/>
      <c r="B119" s="31" t="n"/>
      <c r="D119" s="32">
        <f>IFERROR(VLOOKUP(C119,Reference!$A:$B,2,0),"")</f>
        <v/>
      </c>
      <c r="F119" s="32">
        <f>IFERROR(VLOOKUP(C119,Reference!$D:$E,2,0),"")</f>
        <v/>
      </c>
    </row>
    <row r="120">
      <c r="A120" s="30" t="n"/>
      <c r="B120" s="31" t="n"/>
      <c r="D120" s="32">
        <f>IFERROR(VLOOKUP(C120,Reference!$A:$B,2,0),"")</f>
        <v/>
      </c>
      <c r="F120" s="32">
        <f>IFERROR(VLOOKUP(C120,Reference!$D:$E,2,0),"")</f>
        <v/>
      </c>
    </row>
    <row r="121">
      <c r="A121" s="30" t="n"/>
      <c r="B121" s="31" t="n"/>
      <c r="D121" s="32">
        <f>IFERROR(VLOOKUP(C121,Reference!$A:$B,2,0),"")</f>
        <v/>
      </c>
      <c r="F121" s="32">
        <f>IFERROR(VLOOKUP(C121,Reference!$D:$E,2,0),"")</f>
        <v/>
      </c>
    </row>
    <row r="122">
      <c r="A122" s="30" t="n"/>
      <c r="B122" s="31" t="n"/>
      <c r="D122" s="32">
        <f>IFERROR(VLOOKUP(C122,Reference!$A:$B,2,0),"")</f>
        <v/>
      </c>
      <c r="F122" s="32">
        <f>IFERROR(VLOOKUP(C122,Reference!$D:$E,2,0),"")</f>
        <v/>
      </c>
    </row>
    <row r="123">
      <c r="A123" s="30" t="n"/>
      <c r="B123" s="31" t="n"/>
      <c r="D123" s="32">
        <f>IFERROR(VLOOKUP(C123,Reference!$A:$B,2,0),"")</f>
        <v/>
      </c>
      <c r="F123" s="32">
        <f>IFERROR(VLOOKUP(C123,Reference!$D:$E,2,0),"")</f>
        <v/>
      </c>
    </row>
    <row r="124">
      <c r="A124" s="30" t="n"/>
      <c r="B124" s="31" t="n"/>
      <c r="D124" s="32">
        <f>IFERROR(VLOOKUP(C124,Reference!$A:$B,2,0),"")</f>
        <v/>
      </c>
      <c r="F124" s="32">
        <f>IFERROR(VLOOKUP(C124,Reference!$D:$E,2,0),"")</f>
        <v/>
      </c>
    </row>
    <row r="125">
      <c r="A125" s="30" t="n"/>
      <c r="B125" s="31" t="n"/>
      <c r="D125" s="32">
        <f>IFERROR(VLOOKUP(C125,Reference!$A:$B,2,0),"")</f>
        <v/>
      </c>
      <c r="F125" s="32">
        <f>IFERROR(VLOOKUP(C125,Reference!$D:$E,2,0),"")</f>
        <v/>
      </c>
    </row>
    <row r="126">
      <c r="A126" s="30" t="n"/>
      <c r="B126" s="31" t="n"/>
      <c r="D126" s="32">
        <f>IFERROR(VLOOKUP(C126,Reference!$A:$B,2,0),"")</f>
        <v/>
      </c>
      <c r="F126" s="32">
        <f>IFERROR(VLOOKUP(C126,Reference!$D:$E,2,0),"")</f>
        <v/>
      </c>
    </row>
    <row r="127">
      <c r="A127" s="30" t="n"/>
      <c r="B127" s="31" t="n"/>
      <c r="D127" s="32">
        <f>IFERROR(VLOOKUP(C127,Reference!$A:$B,2,0),"")</f>
        <v/>
      </c>
      <c r="F127" s="32">
        <f>IFERROR(VLOOKUP(C127,Reference!$D:$E,2,0),"")</f>
        <v/>
      </c>
    </row>
    <row r="128">
      <c r="A128" s="30" t="n"/>
      <c r="B128" s="31" t="n"/>
      <c r="D128" s="32">
        <f>IFERROR(VLOOKUP(C128,Reference!$A:$B,2,0),"")</f>
        <v/>
      </c>
      <c r="F128" s="32">
        <f>IFERROR(VLOOKUP(C128,Reference!$D:$E,2,0),"")</f>
        <v/>
      </c>
    </row>
    <row r="129">
      <c r="A129" s="30" t="n"/>
      <c r="B129" s="31" t="n"/>
      <c r="D129" s="32">
        <f>IFERROR(VLOOKUP(C129,Reference!$A:$B,2,0),"")</f>
        <v/>
      </c>
      <c r="F129" s="32">
        <f>IFERROR(VLOOKUP(C129,Reference!$D:$E,2,0),"")</f>
        <v/>
      </c>
    </row>
    <row r="130">
      <c r="A130" s="30" t="n"/>
      <c r="B130" s="31" t="n"/>
      <c r="D130" s="32">
        <f>IFERROR(VLOOKUP(C130,Reference!$A:$B,2,0),"")</f>
        <v/>
      </c>
      <c r="F130" s="32">
        <f>IFERROR(VLOOKUP(C130,Reference!$D:$E,2,0),"")</f>
        <v/>
      </c>
    </row>
    <row r="131">
      <c r="A131" s="30" t="n"/>
      <c r="B131" s="31" t="n"/>
      <c r="D131" s="32">
        <f>IFERROR(VLOOKUP(C131,Reference!$A:$B,2,0),"")</f>
        <v/>
      </c>
      <c r="F131" s="32">
        <f>IFERROR(VLOOKUP(C131,Reference!$D:$E,2,0),"")</f>
        <v/>
      </c>
    </row>
    <row r="132">
      <c r="A132" s="30" t="n"/>
      <c r="B132" s="31" t="n"/>
      <c r="D132" s="32">
        <f>IFERROR(VLOOKUP(C132,Reference!$A:$B,2,0),"")</f>
        <v/>
      </c>
      <c r="F132" s="32">
        <f>IFERROR(VLOOKUP(C132,Reference!$D:$E,2,0),"")</f>
        <v/>
      </c>
    </row>
    <row r="133">
      <c r="A133" s="30" t="n"/>
      <c r="B133" s="31" t="n"/>
      <c r="D133" s="32">
        <f>IFERROR(VLOOKUP(C133,Reference!$A:$B,2,0),"")</f>
        <v/>
      </c>
      <c r="F133" s="32">
        <f>IFERROR(VLOOKUP(C133,Reference!$D:$E,2,0),"")</f>
        <v/>
      </c>
    </row>
    <row r="134">
      <c r="A134" s="30" t="n"/>
      <c r="B134" s="31" t="n"/>
      <c r="D134" s="32">
        <f>IFERROR(VLOOKUP(C134,Reference!$A:$B,2,0),"")</f>
        <v/>
      </c>
      <c r="F134" s="32">
        <f>IFERROR(VLOOKUP(C134,Reference!$D:$E,2,0),"")</f>
        <v/>
      </c>
    </row>
    <row r="135">
      <c r="A135" s="30" t="n"/>
      <c r="B135" s="31" t="n"/>
      <c r="D135" s="32">
        <f>IFERROR(VLOOKUP(C135,Reference!$A:$B,2,0),"")</f>
        <v/>
      </c>
      <c r="F135" s="32">
        <f>IFERROR(VLOOKUP(C135,Reference!$D:$E,2,0),"")</f>
        <v/>
      </c>
    </row>
    <row r="136">
      <c r="A136" s="30" t="n"/>
      <c r="B136" s="31" t="n"/>
      <c r="D136" s="32">
        <f>IFERROR(VLOOKUP(C136,Reference!$A:$B,2,0),"")</f>
        <v/>
      </c>
      <c r="F136" s="32">
        <f>IFERROR(VLOOKUP(C136,Reference!$D:$E,2,0),"")</f>
        <v/>
      </c>
    </row>
    <row r="137">
      <c r="A137" s="30" t="n"/>
      <c r="B137" s="31" t="n"/>
      <c r="D137" s="32">
        <f>IFERROR(VLOOKUP(C137,Reference!$A:$B,2,0),"")</f>
        <v/>
      </c>
      <c r="F137" s="32">
        <f>IFERROR(VLOOKUP(C137,Reference!$D:$E,2,0),"")</f>
        <v/>
      </c>
    </row>
    <row r="138">
      <c r="A138" s="30" t="n"/>
      <c r="B138" s="31" t="n"/>
      <c r="D138" s="32">
        <f>IFERROR(VLOOKUP(C138,Reference!$A:$B,2,0),"")</f>
        <v/>
      </c>
      <c r="F138" s="32">
        <f>IFERROR(VLOOKUP(C138,Reference!$D:$E,2,0),"")</f>
        <v/>
      </c>
    </row>
    <row r="139">
      <c r="A139" s="30" t="n"/>
      <c r="B139" s="31" t="n"/>
      <c r="D139" s="32">
        <f>IFERROR(VLOOKUP(C139,Reference!$A:$B,2,0),"")</f>
        <v/>
      </c>
      <c r="F139" s="32">
        <f>IFERROR(VLOOKUP(C139,Reference!$D:$E,2,0),"")</f>
        <v/>
      </c>
    </row>
    <row r="140">
      <c r="A140" s="30" t="n"/>
      <c r="B140" s="31" t="n"/>
      <c r="D140" s="32">
        <f>IFERROR(VLOOKUP(C140,Reference!$A:$B,2,0),"")</f>
        <v/>
      </c>
      <c r="F140" s="32">
        <f>IFERROR(VLOOKUP(C140,Reference!$D:$E,2,0),"")</f>
        <v/>
      </c>
    </row>
    <row r="141">
      <c r="A141" s="30" t="n"/>
      <c r="B141" s="31" t="n"/>
      <c r="D141" s="32">
        <f>IFERROR(VLOOKUP(C141,Reference!$A:$B,2,0),"")</f>
        <v/>
      </c>
      <c r="F141" s="32">
        <f>IFERROR(VLOOKUP(C141,Reference!$D:$E,2,0),"")</f>
        <v/>
      </c>
    </row>
    <row r="142">
      <c r="A142" s="30" t="n"/>
      <c r="B142" s="31" t="n"/>
      <c r="D142" s="32">
        <f>IFERROR(VLOOKUP(C142,Reference!$A:$B,2,0),"")</f>
        <v/>
      </c>
      <c r="F142" s="32">
        <f>IFERROR(VLOOKUP(C142,Reference!$D:$E,2,0),"")</f>
        <v/>
      </c>
    </row>
    <row r="143">
      <c r="A143" s="30" t="n"/>
      <c r="B143" s="31" t="n"/>
      <c r="D143" s="32">
        <f>IFERROR(VLOOKUP(C143,Reference!$A:$B,2,0),"")</f>
        <v/>
      </c>
      <c r="F143" s="32">
        <f>IFERROR(VLOOKUP(C143,Reference!$D:$E,2,0),"")</f>
        <v/>
      </c>
    </row>
    <row r="144">
      <c r="A144" s="30" t="n"/>
      <c r="B144" s="31" t="n"/>
      <c r="D144" s="32">
        <f>IFERROR(VLOOKUP(C144,Reference!$A:$B,2,0),"")</f>
        <v/>
      </c>
      <c r="F144" s="32">
        <f>IFERROR(VLOOKUP(C144,Reference!$D:$E,2,0),"")</f>
        <v/>
      </c>
    </row>
    <row r="145">
      <c r="A145" s="30" t="n"/>
      <c r="B145" s="31" t="n"/>
      <c r="D145" s="32">
        <f>IFERROR(VLOOKUP(C145,Reference!$A:$B,2,0),"")</f>
        <v/>
      </c>
      <c r="F145" s="32">
        <f>IFERROR(VLOOKUP(C145,Reference!$D:$E,2,0),"")</f>
        <v/>
      </c>
    </row>
    <row r="146">
      <c r="A146" s="30" t="n"/>
      <c r="B146" s="31" t="n"/>
      <c r="D146" s="32">
        <f>IFERROR(VLOOKUP(C146,Reference!$A:$B,2,0),"")</f>
        <v/>
      </c>
      <c r="F146" s="32">
        <f>IFERROR(VLOOKUP(C146,Reference!$D:$E,2,0),"")</f>
        <v/>
      </c>
    </row>
    <row r="147">
      <c r="A147" s="30" t="n"/>
      <c r="B147" s="31" t="n"/>
      <c r="D147" s="32">
        <f>IFERROR(VLOOKUP(C147,Reference!$A:$B,2,0),"")</f>
        <v/>
      </c>
      <c r="F147" s="32">
        <f>IFERROR(VLOOKUP(C147,Reference!$D:$E,2,0),"")</f>
        <v/>
      </c>
    </row>
    <row r="148">
      <c r="A148" s="30" t="n"/>
      <c r="B148" s="31" t="n"/>
      <c r="D148" s="32">
        <f>IFERROR(VLOOKUP(C148,Reference!$A:$B,2,0),"")</f>
        <v/>
      </c>
      <c r="F148" s="32">
        <f>IFERROR(VLOOKUP(C148,Reference!$D:$E,2,0),"")</f>
        <v/>
      </c>
    </row>
    <row r="149">
      <c r="A149" s="30" t="n"/>
      <c r="B149" s="31" t="n"/>
      <c r="D149" s="32">
        <f>IFERROR(VLOOKUP(C149,Reference!$A:$B,2,0),"")</f>
        <v/>
      </c>
      <c r="F149" s="32">
        <f>IFERROR(VLOOKUP(C149,Reference!$D:$E,2,0),"")</f>
        <v/>
      </c>
    </row>
    <row r="150">
      <c r="A150" s="30" t="n"/>
      <c r="B150" s="31" t="n"/>
      <c r="D150" s="32">
        <f>IFERROR(VLOOKUP(C150,Reference!$A:$B,2,0),"")</f>
        <v/>
      </c>
      <c r="F150" s="32">
        <f>IFERROR(VLOOKUP(C150,Reference!$D:$E,2,0),"")</f>
        <v/>
      </c>
    </row>
    <row r="151">
      <c r="A151" s="30" t="n"/>
      <c r="B151" s="31" t="n"/>
      <c r="D151" s="32">
        <f>IFERROR(VLOOKUP(C151,Reference!$A:$B,2,0),"")</f>
        <v/>
      </c>
      <c r="F151" s="32">
        <f>IFERROR(VLOOKUP(C151,Reference!$D:$E,2,0),"")</f>
        <v/>
      </c>
    </row>
    <row r="152">
      <c r="A152" s="30" t="n"/>
      <c r="B152" s="31" t="n"/>
      <c r="D152" s="32">
        <f>IFERROR(VLOOKUP(C152,Reference!$A:$B,2,0),"")</f>
        <v/>
      </c>
      <c r="F152" s="32">
        <f>IFERROR(VLOOKUP(C152,Reference!$D:$E,2,0),"")</f>
        <v/>
      </c>
    </row>
    <row r="153">
      <c r="A153" s="30" t="n"/>
      <c r="B153" s="31" t="n"/>
      <c r="D153" s="32">
        <f>IFERROR(VLOOKUP(C153,Reference!$A:$B,2,0),"")</f>
        <v/>
      </c>
      <c r="F153" s="32">
        <f>IFERROR(VLOOKUP(C153,Reference!$D:$E,2,0),"")</f>
        <v/>
      </c>
    </row>
    <row r="154">
      <c r="A154" s="30" t="n"/>
      <c r="B154" s="31" t="n"/>
      <c r="D154" s="32">
        <f>IFERROR(VLOOKUP(C154,Reference!$A:$B,2,0),"")</f>
        <v/>
      </c>
      <c r="F154" s="32">
        <f>IFERROR(VLOOKUP(C154,Reference!$D:$E,2,0),"")</f>
        <v/>
      </c>
    </row>
    <row r="155">
      <c r="A155" s="30" t="n"/>
      <c r="B155" s="31" t="n"/>
      <c r="D155" s="32">
        <f>IFERROR(VLOOKUP(C155,Reference!$A:$B,2,0),"")</f>
        <v/>
      </c>
      <c r="F155" s="32">
        <f>IFERROR(VLOOKUP(C155,Reference!$D:$E,2,0),"")</f>
        <v/>
      </c>
    </row>
    <row r="156">
      <c r="A156" s="30" t="n"/>
      <c r="B156" s="31" t="n"/>
      <c r="D156" s="32">
        <f>IFERROR(VLOOKUP(C156,Reference!$A:$B,2,0),"")</f>
        <v/>
      </c>
      <c r="F156" s="32">
        <f>IFERROR(VLOOKUP(C156,Reference!$D:$E,2,0),"")</f>
        <v/>
      </c>
    </row>
    <row r="157">
      <c r="A157" s="30" t="n"/>
      <c r="B157" s="31" t="n"/>
      <c r="D157" s="32">
        <f>IFERROR(VLOOKUP(C157,Reference!$A:$B,2,0),"")</f>
        <v/>
      </c>
      <c r="F157" s="32">
        <f>IFERROR(VLOOKUP(C157,Reference!$D:$E,2,0),"")</f>
        <v/>
      </c>
    </row>
    <row r="158">
      <c r="A158" s="30" t="n"/>
      <c r="B158" s="31" t="n"/>
      <c r="D158" s="32">
        <f>IFERROR(VLOOKUP(C158,Reference!$A:$B,2,0),"")</f>
        <v/>
      </c>
      <c r="F158" s="32">
        <f>IFERROR(VLOOKUP(C158,Reference!$D:$E,2,0),"")</f>
        <v/>
      </c>
    </row>
    <row r="159">
      <c r="A159" s="30" t="n"/>
      <c r="B159" s="31" t="n"/>
      <c r="D159" s="32">
        <f>IFERROR(VLOOKUP(C159,Reference!$A:$B,2,0),"")</f>
        <v/>
      </c>
      <c r="F159" s="32">
        <f>IFERROR(VLOOKUP(C159,Reference!$D:$E,2,0),"")</f>
        <v/>
      </c>
    </row>
    <row r="160">
      <c r="A160" s="30" t="n"/>
      <c r="B160" s="31" t="n"/>
      <c r="D160" s="32">
        <f>IFERROR(VLOOKUP(C160,Reference!$A:$B,2,0),"")</f>
        <v/>
      </c>
      <c r="F160" s="32">
        <f>IFERROR(VLOOKUP(C160,Reference!$D:$E,2,0),"")</f>
        <v/>
      </c>
    </row>
    <row r="161">
      <c r="A161" s="30" t="n"/>
      <c r="B161" s="31" t="n"/>
      <c r="D161" s="32">
        <f>IFERROR(VLOOKUP(C161,Reference!$A:$B,2,0),"")</f>
        <v/>
      </c>
      <c r="F161" s="32">
        <f>IFERROR(VLOOKUP(C161,Reference!$D:$E,2,0),"")</f>
        <v/>
      </c>
    </row>
    <row r="162">
      <c r="A162" s="30" t="n"/>
      <c r="B162" s="31" t="n"/>
      <c r="D162" s="32">
        <f>IFERROR(VLOOKUP(C162,Reference!$A:$B,2,0),"")</f>
        <v/>
      </c>
      <c r="F162" s="32">
        <f>IFERROR(VLOOKUP(C162,Reference!$D:$E,2,0),"")</f>
        <v/>
      </c>
    </row>
    <row r="163">
      <c r="A163" s="30" t="n"/>
      <c r="B163" s="31" t="n"/>
      <c r="D163" s="32">
        <f>IFERROR(VLOOKUP(C163,Reference!$A:$B,2,0),"")</f>
        <v/>
      </c>
      <c r="F163" s="32">
        <f>IFERROR(VLOOKUP(C163,Reference!$D:$E,2,0),"")</f>
        <v/>
      </c>
    </row>
    <row r="164">
      <c r="A164" s="30" t="n"/>
      <c r="B164" s="31" t="n"/>
      <c r="D164" s="32">
        <f>IFERROR(VLOOKUP(C164,Reference!$A:$B,2,0),"")</f>
        <v/>
      </c>
      <c r="F164" s="32">
        <f>IFERROR(VLOOKUP(C164,Reference!$D:$E,2,0),"")</f>
        <v/>
      </c>
    </row>
    <row r="165">
      <c r="A165" s="30" t="n"/>
      <c r="B165" s="31" t="n"/>
      <c r="D165" s="32">
        <f>IFERROR(VLOOKUP(C165,Reference!$A:$B,2,0),"")</f>
        <v/>
      </c>
      <c r="F165" s="32">
        <f>IFERROR(VLOOKUP(C165,Reference!$D:$E,2,0),"")</f>
        <v/>
      </c>
    </row>
    <row r="166">
      <c r="A166" s="30" t="n"/>
      <c r="B166" s="31" t="n"/>
      <c r="D166" s="32">
        <f>IFERROR(VLOOKUP(C166,Reference!$A:$B,2,0),"")</f>
        <v/>
      </c>
      <c r="F166" s="32">
        <f>IFERROR(VLOOKUP(C166,Reference!$D:$E,2,0),"")</f>
        <v/>
      </c>
    </row>
    <row r="167">
      <c r="A167" s="30" t="n"/>
      <c r="B167" s="31" t="n"/>
      <c r="D167" s="32">
        <f>IFERROR(VLOOKUP(C167,Reference!$A:$B,2,0),"")</f>
        <v/>
      </c>
      <c r="F167" s="32">
        <f>IFERROR(VLOOKUP(C167,Reference!$D:$E,2,0),"")</f>
        <v/>
      </c>
    </row>
    <row r="168">
      <c r="A168" s="30" t="n"/>
      <c r="B168" s="31" t="n"/>
      <c r="D168" s="32">
        <f>IFERROR(VLOOKUP(C168,Reference!$A:$B,2,0),"")</f>
        <v/>
      </c>
      <c r="F168" s="32">
        <f>IFERROR(VLOOKUP(C168,Reference!$D:$E,2,0),"")</f>
        <v/>
      </c>
    </row>
    <row r="169">
      <c r="A169" s="30" t="n"/>
      <c r="B169" s="31" t="n"/>
      <c r="D169" s="32">
        <f>IFERROR(VLOOKUP(C169,Reference!$A:$B,2,0),"")</f>
        <v/>
      </c>
      <c r="F169" s="32">
        <f>IFERROR(VLOOKUP(C169,Reference!$D:$E,2,0),"")</f>
        <v/>
      </c>
    </row>
    <row r="170">
      <c r="A170" s="30" t="n"/>
      <c r="B170" s="31" t="n"/>
      <c r="D170" s="32">
        <f>IFERROR(VLOOKUP(C170,Reference!$A:$B,2,0),"")</f>
        <v/>
      </c>
      <c r="F170" s="32">
        <f>IFERROR(VLOOKUP(C170,Reference!$D:$E,2,0),"")</f>
        <v/>
      </c>
    </row>
    <row r="171">
      <c r="A171" s="30" t="n"/>
      <c r="B171" s="31" t="n"/>
      <c r="D171" s="32">
        <f>IFERROR(VLOOKUP(C171,Reference!$A:$B,2,0),"")</f>
        <v/>
      </c>
      <c r="F171" s="32">
        <f>IFERROR(VLOOKUP(C171,Reference!$D:$E,2,0),"")</f>
        <v/>
      </c>
    </row>
    <row r="172">
      <c r="A172" s="30" t="n"/>
      <c r="B172" s="31" t="n"/>
      <c r="D172" s="32">
        <f>IFERROR(VLOOKUP(C172,Reference!$A:$B,2,0),"")</f>
        <v/>
      </c>
      <c r="F172" s="32">
        <f>IFERROR(VLOOKUP(C172,Reference!$D:$E,2,0),"")</f>
        <v/>
      </c>
    </row>
    <row r="173">
      <c r="A173" s="30" t="n"/>
      <c r="B173" s="31" t="n"/>
      <c r="D173" s="32">
        <f>IFERROR(VLOOKUP(C173,Reference!$A:$B,2,0),"")</f>
        <v/>
      </c>
      <c r="F173" s="32">
        <f>IFERROR(VLOOKUP(C173,Reference!$D:$E,2,0),"")</f>
        <v/>
      </c>
    </row>
    <row r="174">
      <c r="A174" s="30" t="n"/>
      <c r="B174" s="31" t="n"/>
      <c r="D174" s="32">
        <f>IFERROR(VLOOKUP(C174,Reference!$A:$B,2,0),"")</f>
        <v/>
      </c>
      <c r="F174" s="32">
        <f>IFERROR(VLOOKUP(C174,Reference!$D:$E,2,0),"")</f>
        <v/>
      </c>
    </row>
    <row r="175">
      <c r="A175" s="30" t="n"/>
      <c r="B175" s="31" t="n"/>
      <c r="D175" s="32">
        <f>IFERROR(VLOOKUP(C175,Reference!$A:$B,2,0),"")</f>
        <v/>
      </c>
      <c r="F175" s="32">
        <f>IFERROR(VLOOKUP(C175,Reference!$D:$E,2,0),"")</f>
        <v/>
      </c>
    </row>
    <row r="176">
      <c r="A176" s="30" t="n"/>
      <c r="B176" s="31" t="n"/>
      <c r="D176" s="32">
        <f>IFERROR(VLOOKUP(C176,Reference!$A:$B,2,0),"")</f>
        <v/>
      </c>
      <c r="F176" s="32">
        <f>IFERROR(VLOOKUP(C176,Reference!$D:$E,2,0),"")</f>
        <v/>
      </c>
    </row>
    <row r="177">
      <c r="A177" s="30" t="n"/>
      <c r="B177" s="31" t="n"/>
      <c r="D177" s="32">
        <f>IFERROR(VLOOKUP(C177,Reference!$A:$B,2,0),"")</f>
        <v/>
      </c>
      <c r="F177" s="32">
        <f>IFERROR(VLOOKUP(C177,Reference!$D:$E,2,0),"")</f>
        <v/>
      </c>
    </row>
    <row r="178">
      <c r="A178" s="30" t="n"/>
      <c r="B178" s="31" t="n"/>
      <c r="D178" s="32">
        <f>IFERROR(VLOOKUP(C178,Reference!$A:$B,2,0),"")</f>
        <v/>
      </c>
      <c r="F178" s="32">
        <f>IFERROR(VLOOKUP(C178,Reference!$D:$E,2,0),"")</f>
        <v/>
      </c>
    </row>
    <row r="179">
      <c r="A179" s="30" t="n"/>
      <c r="B179" s="31" t="n"/>
      <c r="D179" s="32">
        <f>IFERROR(VLOOKUP(C179,Reference!$A:$B,2,0),"")</f>
        <v/>
      </c>
      <c r="F179" s="32">
        <f>IFERROR(VLOOKUP(C179,Reference!$D:$E,2,0),"")</f>
        <v/>
      </c>
    </row>
    <row r="180">
      <c r="A180" s="30" t="n"/>
      <c r="B180" s="31" t="n"/>
      <c r="D180" s="32">
        <f>IFERROR(VLOOKUP(C180,Reference!$A:$B,2,0),"")</f>
        <v/>
      </c>
      <c r="F180" s="32">
        <f>IFERROR(VLOOKUP(C180,Reference!$D:$E,2,0),"")</f>
        <v/>
      </c>
    </row>
    <row r="181">
      <c r="A181" s="30" t="n"/>
      <c r="B181" s="31" t="n"/>
      <c r="D181" s="32">
        <f>IFERROR(VLOOKUP(C181,Reference!$A:$B,2,0),"")</f>
        <v/>
      </c>
      <c r="F181" s="32">
        <f>IFERROR(VLOOKUP(C181,Reference!$D:$E,2,0),"")</f>
        <v/>
      </c>
    </row>
    <row r="182">
      <c r="A182" s="30" t="n"/>
      <c r="B182" s="31" t="n"/>
      <c r="D182" s="32">
        <f>IFERROR(VLOOKUP(C182,Reference!$A:$B,2,0),"")</f>
        <v/>
      </c>
      <c r="F182" s="32">
        <f>IFERROR(VLOOKUP(C182,Reference!$D:$E,2,0),"")</f>
        <v/>
      </c>
    </row>
    <row r="183">
      <c r="A183" s="30" t="n"/>
      <c r="B183" s="31" t="n"/>
      <c r="D183" s="32">
        <f>IFERROR(VLOOKUP(C183,Reference!$A:$B,2,0),"")</f>
        <v/>
      </c>
      <c r="F183" s="32">
        <f>IFERROR(VLOOKUP(C183,Reference!$D:$E,2,0),"")</f>
        <v/>
      </c>
    </row>
    <row r="184">
      <c r="A184" s="30" t="n"/>
      <c r="B184" s="31" t="n"/>
      <c r="D184" s="32">
        <f>IFERROR(VLOOKUP(C184,Reference!$A:$B,2,0),"")</f>
        <v/>
      </c>
      <c r="F184" s="32">
        <f>IFERROR(VLOOKUP(C184,Reference!$D:$E,2,0),"")</f>
        <v/>
      </c>
    </row>
    <row r="185">
      <c r="A185" s="30" t="n"/>
      <c r="B185" s="31" t="n"/>
      <c r="D185" s="32">
        <f>IFERROR(VLOOKUP(C185,Reference!$A:$B,2,0),"")</f>
        <v/>
      </c>
      <c r="F185" s="32">
        <f>IFERROR(VLOOKUP(C185,Reference!$D:$E,2,0),"")</f>
        <v/>
      </c>
    </row>
    <row r="186">
      <c r="A186" s="30" t="n"/>
      <c r="B186" s="31" t="n"/>
      <c r="D186" s="32">
        <f>IFERROR(VLOOKUP(C186,Reference!$A:$B,2,0),"")</f>
        <v/>
      </c>
      <c r="F186" s="32">
        <f>IFERROR(VLOOKUP(C186,Reference!$D:$E,2,0),"")</f>
        <v/>
      </c>
    </row>
    <row r="187">
      <c r="A187" s="30" t="n"/>
      <c r="B187" s="31" t="n"/>
      <c r="D187" s="32">
        <f>IFERROR(VLOOKUP(C187,Reference!$A:$B,2,0),"")</f>
        <v/>
      </c>
      <c r="F187" s="32">
        <f>IFERROR(VLOOKUP(C187,Reference!$D:$E,2,0),"")</f>
        <v/>
      </c>
    </row>
    <row r="188">
      <c r="A188" s="30" t="n"/>
      <c r="B188" s="31" t="n"/>
      <c r="D188" s="32">
        <f>IFERROR(VLOOKUP(C188,Reference!$A:$B,2,0),"")</f>
        <v/>
      </c>
      <c r="F188" s="32">
        <f>IFERROR(VLOOKUP(C188,Reference!$D:$E,2,0),"")</f>
        <v/>
      </c>
    </row>
    <row r="189">
      <c r="A189" s="30" t="n"/>
      <c r="B189" s="31" t="n"/>
      <c r="D189" s="32">
        <f>IFERROR(VLOOKUP(C189,Reference!$A:$B,2,0),"")</f>
        <v/>
      </c>
      <c r="F189" s="32">
        <f>IFERROR(VLOOKUP(C189,Reference!$D:$E,2,0),"")</f>
        <v/>
      </c>
    </row>
    <row r="190">
      <c r="A190" s="30" t="n"/>
      <c r="B190" s="31" t="n"/>
      <c r="D190" s="32">
        <f>IFERROR(VLOOKUP(C190,Reference!$A:$B,2,0),"")</f>
        <v/>
      </c>
      <c r="F190" s="32">
        <f>IFERROR(VLOOKUP(C190,Reference!$D:$E,2,0),"")</f>
        <v/>
      </c>
    </row>
    <row r="191">
      <c r="A191" s="30" t="n"/>
      <c r="B191" s="31" t="n"/>
      <c r="D191" s="32">
        <f>IFERROR(VLOOKUP(C191,Reference!$A:$B,2,0),"")</f>
        <v/>
      </c>
      <c r="F191" s="32">
        <f>IFERROR(VLOOKUP(C191,Reference!$D:$E,2,0),"")</f>
        <v/>
      </c>
    </row>
    <row r="192">
      <c r="A192" s="30" t="n"/>
      <c r="B192" s="31" t="n"/>
      <c r="D192" s="32">
        <f>IFERROR(VLOOKUP(C192,Reference!$A:$B,2,0),"")</f>
        <v/>
      </c>
      <c r="F192" s="32">
        <f>IFERROR(VLOOKUP(C192,Reference!$D:$E,2,0),"")</f>
        <v/>
      </c>
    </row>
    <row r="193">
      <c r="A193" s="30" t="n"/>
      <c r="B193" s="31" t="n"/>
      <c r="D193" s="32">
        <f>IFERROR(VLOOKUP(C193,Reference!$A:$B,2,0),"")</f>
        <v/>
      </c>
      <c r="F193" s="32">
        <f>IFERROR(VLOOKUP(C193,Reference!$D:$E,2,0),"")</f>
        <v/>
      </c>
    </row>
    <row r="194">
      <c r="A194" s="30" t="n"/>
      <c r="B194" s="31" t="n"/>
      <c r="D194" s="32">
        <f>IFERROR(VLOOKUP(C194,Reference!$A:$B,2,0),"")</f>
        <v/>
      </c>
      <c r="F194" s="32">
        <f>IFERROR(VLOOKUP(C194,Reference!$D:$E,2,0),"")</f>
        <v/>
      </c>
    </row>
    <row r="195">
      <c r="A195" s="30" t="n"/>
      <c r="B195" s="31" t="n"/>
      <c r="D195" s="32">
        <f>IFERROR(VLOOKUP(C195,Reference!$A:$B,2,0),"")</f>
        <v/>
      </c>
      <c r="F195" s="32">
        <f>IFERROR(VLOOKUP(C195,Reference!$D:$E,2,0),"")</f>
        <v/>
      </c>
    </row>
    <row r="196">
      <c r="A196" s="30" t="n"/>
      <c r="B196" s="31" t="n"/>
      <c r="D196" s="32">
        <f>IFERROR(VLOOKUP(C196,Reference!$A:$B,2,0),"")</f>
        <v/>
      </c>
      <c r="F196" s="32">
        <f>IFERROR(VLOOKUP(C196,Reference!$D:$E,2,0),"")</f>
        <v/>
      </c>
    </row>
    <row r="197">
      <c r="A197" s="30" t="n"/>
      <c r="B197" s="31" t="n"/>
      <c r="D197" s="32">
        <f>IFERROR(VLOOKUP(C197,Reference!$A:$B,2,0),"")</f>
        <v/>
      </c>
      <c r="F197" s="32">
        <f>IFERROR(VLOOKUP(C197,Reference!$D:$E,2,0),"")</f>
        <v/>
      </c>
    </row>
    <row r="198">
      <c r="A198" s="30" t="n"/>
      <c r="B198" s="31" t="n"/>
      <c r="D198" s="32">
        <f>IFERROR(VLOOKUP(C198,Reference!$A:$B,2,0),"")</f>
        <v/>
      </c>
      <c r="F198" s="32">
        <f>IFERROR(VLOOKUP(C198,Reference!$D:$E,2,0),"")</f>
        <v/>
      </c>
    </row>
    <row r="199">
      <c r="A199" s="30" t="n"/>
      <c r="B199" s="31" t="n"/>
      <c r="D199" s="32">
        <f>IFERROR(VLOOKUP(C199,Reference!$A:$B,2,0),"")</f>
        <v/>
      </c>
      <c r="F199" s="32">
        <f>IFERROR(VLOOKUP(C199,Reference!$D:$E,2,0),"")</f>
        <v/>
      </c>
    </row>
    <row r="200">
      <c r="A200" s="30" t="n"/>
      <c r="B200" s="31" t="n"/>
      <c r="D200" s="32">
        <f>IFERROR(VLOOKUP(C200,Reference!$A:$B,2,0),"")</f>
        <v/>
      </c>
      <c r="F200" s="32">
        <f>IFERROR(VLOOKUP(C200,Reference!$D:$E,2,0),"")</f>
        <v/>
      </c>
    </row>
  </sheetData>
  <conditionalFormatting sqref="B2:B200">
    <cfRule type="cellIs" priority="1" operator="greaterThan" dxfId="4">
      <formula>300</formula>
    </cfRule>
  </conditionalFormatting>
  <dataValidations count="1">
    <dataValidation sqref="C2:C200" showDropDown="0" showInputMessage="0" showErrorMessage="0" allowBlank="1" error="Pick a sub-category from the list" type="list">
      <formula1>=Reference!$A$1:$A$20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Groceries</t>
        </is>
      </c>
      <c r="B1" t="inlineStr">
        <is>
          <t>Expenses</t>
        </is>
      </c>
      <c r="D1" t="inlineStr">
        <is>
          <t>Groceries</t>
        </is>
      </c>
      <c r="E1" t="inlineStr">
        <is>
          <t>Need</t>
        </is>
      </c>
      <c r="G1" t="inlineStr">
        <is>
          <t>January</t>
        </is>
      </c>
    </row>
    <row r="2">
      <c r="A2" t="inlineStr">
        <is>
          <t>Gas</t>
        </is>
      </c>
      <c r="B2" t="inlineStr">
        <is>
          <t>Expenses</t>
        </is>
      </c>
      <c r="D2" t="inlineStr">
        <is>
          <t>Gas</t>
        </is>
      </c>
      <c r="E2" t="inlineStr">
        <is>
          <t>Need</t>
        </is>
      </c>
      <c r="G2" t="inlineStr">
        <is>
          <t>February</t>
        </is>
      </c>
    </row>
    <row r="3">
      <c r="A3" t="inlineStr">
        <is>
          <t>Health</t>
        </is>
      </c>
      <c r="B3" t="inlineStr">
        <is>
          <t>Expenses</t>
        </is>
      </c>
      <c r="D3" t="inlineStr">
        <is>
          <t>Health</t>
        </is>
      </c>
      <c r="E3" t="inlineStr">
        <is>
          <t>Need</t>
        </is>
      </c>
      <c r="G3" t="inlineStr">
        <is>
          <t>March</t>
        </is>
      </c>
    </row>
    <row r="4">
      <c r="A4" t="inlineStr">
        <is>
          <t>Dining Out</t>
        </is>
      </c>
      <c r="B4" t="inlineStr">
        <is>
          <t>Expenses</t>
        </is>
      </c>
      <c r="D4" t="inlineStr">
        <is>
          <t>Rent/Mortgage</t>
        </is>
      </c>
      <c r="E4" t="inlineStr">
        <is>
          <t>Need</t>
        </is>
      </c>
      <c r="G4" t="inlineStr">
        <is>
          <t>April</t>
        </is>
      </c>
    </row>
    <row r="5">
      <c r="A5" t="inlineStr">
        <is>
          <t>Clothes</t>
        </is>
      </c>
      <c r="B5" t="inlineStr">
        <is>
          <t>Expenses</t>
        </is>
      </c>
      <c r="D5" t="inlineStr">
        <is>
          <t>Utilities</t>
        </is>
      </c>
      <c r="E5" t="inlineStr">
        <is>
          <t>Need</t>
        </is>
      </c>
      <c r="G5" t="inlineStr">
        <is>
          <t>May</t>
        </is>
      </c>
    </row>
    <row r="6">
      <c r="A6" t="inlineStr">
        <is>
          <t>Drugstore</t>
        </is>
      </c>
      <c r="B6" t="inlineStr">
        <is>
          <t>Expenses</t>
        </is>
      </c>
      <c r="D6" t="inlineStr">
        <is>
          <t>Insurance</t>
        </is>
      </c>
      <c r="E6" t="inlineStr">
        <is>
          <t>Need</t>
        </is>
      </c>
      <c r="G6" t="inlineStr">
        <is>
          <t>June</t>
        </is>
      </c>
    </row>
    <row r="7">
      <c r="A7" t="inlineStr">
        <is>
          <t>Transport</t>
        </is>
      </c>
      <c r="B7" t="inlineStr">
        <is>
          <t>Expenses</t>
        </is>
      </c>
      <c r="D7" t="inlineStr">
        <is>
          <t>Phone</t>
        </is>
      </c>
      <c r="E7" t="inlineStr">
        <is>
          <t>Need</t>
        </is>
      </c>
      <c r="G7" t="inlineStr">
        <is>
          <t>July</t>
        </is>
      </c>
    </row>
    <row r="8">
      <c r="A8" t="inlineStr">
        <is>
          <t>Entertainment</t>
        </is>
      </c>
      <c r="B8" t="inlineStr">
        <is>
          <t>Expenses</t>
        </is>
      </c>
      <c r="D8" t="inlineStr">
        <is>
          <t>Internet</t>
        </is>
      </c>
      <c r="E8" t="inlineStr">
        <is>
          <t>Need</t>
        </is>
      </c>
      <c r="G8" t="inlineStr">
        <is>
          <t>August</t>
        </is>
      </c>
    </row>
    <row r="9">
      <c r="A9" t="inlineStr">
        <is>
          <t>Other</t>
        </is>
      </c>
      <c r="B9" t="inlineStr">
        <is>
          <t>Expenses</t>
        </is>
      </c>
      <c r="D9" t="inlineStr">
        <is>
          <t>Dining Out</t>
        </is>
      </c>
      <c r="E9" t="inlineStr">
        <is>
          <t>Want</t>
        </is>
      </c>
      <c r="G9" t="inlineStr">
        <is>
          <t>September</t>
        </is>
      </c>
    </row>
    <row r="10">
      <c r="A10" t="inlineStr">
        <is>
          <t>Rent/Mortgage</t>
        </is>
      </c>
      <c r="B10" t="inlineStr">
        <is>
          <t>Bills</t>
        </is>
      </c>
      <c r="D10" t="inlineStr">
        <is>
          <t>Clothes</t>
        </is>
      </c>
      <c r="E10" t="inlineStr">
        <is>
          <t>Want</t>
        </is>
      </c>
      <c r="G10" t="inlineStr">
        <is>
          <t>October</t>
        </is>
      </c>
    </row>
    <row r="11">
      <c r="A11" t="inlineStr">
        <is>
          <t>Utilities</t>
        </is>
      </c>
      <c r="B11" t="inlineStr">
        <is>
          <t>Bills</t>
        </is>
      </c>
      <c r="D11" t="inlineStr">
        <is>
          <t>Drugstore</t>
        </is>
      </c>
      <c r="E11" t="inlineStr">
        <is>
          <t>Want</t>
        </is>
      </c>
      <c r="G11" t="inlineStr">
        <is>
          <t>November</t>
        </is>
      </c>
    </row>
    <row r="12">
      <c r="A12" t="inlineStr">
        <is>
          <t>Insurance</t>
        </is>
      </c>
      <c r="B12" t="inlineStr">
        <is>
          <t>Bills</t>
        </is>
      </c>
      <c r="D12" t="inlineStr">
        <is>
          <t>Entertainment</t>
        </is>
      </c>
      <c r="E12" t="inlineStr">
        <is>
          <t>Want</t>
        </is>
      </c>
      <c r="G12" t="inlineStr">
        <is>
          <t>December</t>
        </is>
      </c>
    </row>
    <row r="13">
      <c r="A13" t="inlineStr">
        <is>
          <t>Phone</t>
        </is>
      </c>
      <c r="B13" t="inlineStr">
        <is>
          <t>Bills</t>
        </is>
      </c>
      <c r="D13" t="inlineStr">
        <is>
          <t>Transport</t>
        </is>
      </c>
      <c r="E13" t="inlineStr">
        <is>
          <t>Want</t>
        </is>
      </c>
    </row>
    <row r="14">
      <c r="A14" t="inlineStr">
        <is>
          <t>Internet</t>
        </is>
      </c>
      <c r="B14" t="inlineStr">
        <is>
          <t>Bills</t>
        </is>
      </c>
      <c r="D14" t="inlineStr">
        <is>
          <t>Streaming</t>
        </is>
      </c>
      <c r="E14" t="inlineStr">
        <is>
          <t>Want</t>
        </is>
      </c>
    </row>
    <row r="15">
      <c r="A15" t="inlineStr">
        <is>
          <t>Streaming</t>
        </is>
      </c>
      <c r="B15" t="inlineStr">
        <is>
          <t>Subscriptions</t>
        </is>
      </c>
      <c r="D15" t="inlineStr">
        <is>
          <t>Gym</t>
        </is>
      </c>
      <c r="E15" t="inlineStr">
        <is>
          <t>Want</t>
        </is>
      </c>
    </row>
    <row r="16">
      <c r="A16" t="inlineStr">
        <is>
          <t>Gym</t>
        </is>
      </c>
      <c r="B16" t="inlineStr">
        <is>
          <t>Subscriptions</t>
        </is>
      </c>
      <c r="D16" t="inlineStr">
        <is>
          <t>Other</t>
        </is>
      </c>
      <c r="E16" t="inlineStr">
        <is>
          <t>Want</t>
        </is>
      </c>
    </row>
    <row r="17">
      <c r="A17" t="inlineStr">
        <is>
          <t>Loan Payment</t>
        </is>
      </c>
      <c r="B17" t="inlineStr">
        <is>
          <t>Debts</t>
        </is>
      </c>
      <c r="D17" t="inlineStr">
        <is>
          <t>Loan Payment</t>
        </is>
      </c>
      <c r="E17" t="inlineStr">
        <is>
          <t>Savings / Debts</t>
        </is>
      </c>
    </row>
    <row r="18">
      <c r="A18" t="inlineStr">
        <is>
          <t>Credit Card</t>
        </is>
      </c>
      <c r="B18" t="inlineStr">
        <is>
          <t>Debts</t>
        </is>
      </c>
      <c r="D18" t="inlineStr">
        <is>
          <t>Credit Card</t>
        </is>
      </c>
      <c r="E18" t="inlineStr">
        <is>
          <t>Savings / Debts</t>
        </is>
      </c>
    </row>
    <row r="19">
      <c r="A19" t="inlineStr">
        <is>
          <t>401k</t>
        </is>
      </c>
      <c r="B19" t="inlineStr">
        <is>
          <t>Savings</t>
        </is>
      </c>
      <c r="D19" t="inlineStr">
        <is>
          <t>401k</t>
        </is>
      </c>
      <c r="E19" t="inlineStr">
        <is>
          <t>Savings / Debts</t>
        </is>
      </c>
    </row>
    <row r="20">
      <c r="A20" t="inlineStr">
        <is>
          <t>Savings Transfer</t>
        </is>
      </c>
      <c r="B20" t="inlineStr">
        <is>
          <t>Savings</t>
        </is>
      </c>
      <c r="D20" t="inlineStr">
        <is>
          <t>Savings Transfer</t>
        </is>
      </c>
      <c r="E20" t="inlineStr">
        <is>
          <t>Savings / Debts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4" max="4"/>
    <col width="13" customWidth="1" min="5" max="5"/>
    <col width="16" customWidth="1" min="6" max="6"/>
  </cols>
  <sheetData>
    <row r="1">
      <c r="A1" s="19" t="inlineStr">
        <is>
          <t>INCOME &amp; RATIO SETTINGS</t>
        </is>
      </c>
    </row>
    <row r="2">
      <c r="A2" t="inlineStr">
        <is>
          <t>Monthly Income</t>
        </is>
      </c>
      <c r="B2" s="33" t="n">
        <v>5000</v>
      </c>
    </row>
    <row r="3">
      <c r="A3" t="inlineStr">
        <is>
          <t>Need %</t>
        </is>
      </c>
      <c r="B3" s="34" t="n">
        <v>50</v>
      </c>
    </row>
    <row r="4">
      <c r="A4" t="inlineStr">
        <is>
          <t>Want %</t>
        </is>
      </c>
      <c r="B4" s="34" t="n">
        <v>30</v>
      </c>
    </row>
    <row r="5">
      <c r="A5" t="inlineStr">
        <is>
          <t>Savings/Debts %</t>
        </is>
      </c>
      <c r="B5" s="34" t="n">
        <v>20</v>
      </c>
    </row>
    <row r="6">
      <c r="A6" t="inlineStr">
        <is>
          <t>Ratio Check</t>
        </is>
      </c>
      <c r="B6">
        <f>IF(B3+B4+B5=100,"✓ OK","⚠ Must = 100")</f>
        <v/>
      </c>
    </row>
    <row r="8">
      <c r="D8" s="20" t="inlineStr">
        <is>
          <t>FIXED ITEM</t>
        </is>
      </c>
      <c r="E8" s="20" t="inlineStr">
        <is>
          <t>AMOUNT</t>
        </is>
      </c>
      <c r="F8" s="20" t="inlineStr">
        <is>
          <t>CATEGORY</t>
        </is>
      </c>
    </row>
    <row r="9">
      <c r="D9" t="inlineStr">
        <is>
          <t>Rent/Mortgage</t>
        </is>
      </c>
      <c r="E9" s="31" t="n">
        <v>1200</v>
      </c>
      <c r="F9" t="inlineStr">
        <is>
          <t>Bills</t>
        </is>
      </c>
    </row>
    <row r="10">
      <c r="D10" t="inlineStr">
        <is>
          <t>Phone</t>
        </is>
      </c>
      <c r="E10" s="31" t="n">
        <v>55</v>
      </c>
      <c r="F10" t="inlineStr">
        <is>
          <t>Bills</t>
        </is>
      </c>
    </row>
    <row r="11">
      <c r="D11" t="inlineStr">
        <is>
          <t>Internet</t>
        </is>
      </c>
      <c r="E11" s="31" t="n">
        <v>45</v>
      </c>
      <c r="F11" t="inlineStr">
        <is>
          <t>Bills</t>
        </is>
      </c>
    </row>
    <row r="12">
      <c r="D12" t="inlineStr">
        <is>
          <t>Utilities</t>
        </is>
      </c>
      <c r="E12" s="31" t="n">
        <v>80</v>
      </c>
      <c r="F12" t="inlineStr">
        <is>
          <t>Bills</t>
        </is>
      </c>
    </row>
    <row r="13">
      <c r="D13" t="inlineStr">
        <is>
          <t>Streaming</t>
        </is>
      </c>
      <c r="E13" s="31" t="n">
        <v>45</v>
      </c>
      <c r="F13" t="inlineStr">
        <is>
          <t>Subscriptions</t>
        </is>
      </c>
    </row>
    <row r="14">
      <c r="D14" t="inlineStr">
        <is>
          <t>Gym</t>
        </is>
      </c>
      <c r="E14" s="31" t="n">
        <v>60</v>
      </c>
      <c r="F14" t="inlineStr">
        <is>
          <t>Subscriptions</t>
        </is>
      </c>
    </row>
    <row r="15">
      <c r="D15" t="inlineStr">
        <is>
          <t>Loan Payment</t>
        </is>
      </c>
      <c r="E15" s="31" t="n">
        <v>500</v>
      </c>
      <c r="F15" t="inlineStr">
        <is>
          <t>Debts</t>
        </is>
      </c>
    </row>
  </sheetData>
  <mergeCells count="1">
    <mergeCell ref="A1:B1"/>
  </mergeCells>
  <dataValidations count="1">
    <dataValidation sqref="F9:F30" showDropDown="0" showInputMessage="0" showErrorMessage="0" allowBlank="1" error="Pick Bills, Subscriptions, or Debts" type="list">
      <formula1>"Bills,Subscriptions,Debts"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2026-04-01T15:25:09Z</dcterms:created>
  <dcterms:modified xsi:type="dcterms:W3CDTF">2026-04-01T15:25:09Z</dcterms:modified>
</cp:coreProperties>
</file>